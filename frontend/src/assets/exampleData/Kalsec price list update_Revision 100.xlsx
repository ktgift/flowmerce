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caldicglobal-my.sharepoint.com/personal/suriya_tungsirin_caldic_com/Documents/Desktop/Caldic F&amp;N/Price List/"/>
    </mc:Choice>
  </mc:AlternateContent>
  <xr:revisionPtr revIDLastSave="32" documentId="8_{72732B94-0554-4F32-884A-12BCB6B8B7EC}" xr6:coauthVersionLast="47" xr6:coauthVersionMax="47" xr10:uidLastSave="{65880271-3265-44A2-9181-76F8E79C6204}"/>
  <workbookProtection workbookAlgorithmName="SHA-512" workbookHashValue="g1O+7j0Ww9ULnuzbqB2pSdEU8A6a+btTkNb0pNa8JnQYY3AHbVUe9h7WfeFRreTPIz3qRkJxpXDOt2gTzvWDjg==" workbookSaltValue="RRVWDuA3GQwLFvzseMdi1w==" workbookSpinCount="100000" lockStructure="1"/>
  <bookViews>
    <workbookView xWindow="-110" yWindow="-110" windowWidth="19420" windowHeight="10300" firstSheet="1" activeTab="1" xr2:uid="{278E8387-EF0F-457A-AE20-AE4658F56ADA}"/>
  </bookViews>
  <sheets>
    <sheet name="Definition of File" sheetId="14" r:id="rId1"/>
    <sheet name="Connell Thailand &amp; Others" sheetId="10" r:id="rId2"/>
    <sheet name="order shipping" sheetId="18" r:id="rId3"/>
    <sheet name="Product Discontinued " sheetId="15" r:id="rId4"/>
    <sheet name="Activity Log 2021" sheetId="13" r:id="rId5"/>
    <sheet name="Global Customer" sheetId="12" state="hidden" r:id="rId6"/>
    <sheet name="2020 Reference " sheetId="11" r:id="rId7"/>
    <sheet name="Sheet2" sheetId="17" r:id="rId8"/>
  </sheets>
  <definedNames>
    <definedName name="_xlnm._FilterDatabase" localSheetId="1" hidden="1">'Connell Thailand &amp; Others'!$A$2:$N$1620</definedName>
    <definedName name="_xlnm._FilterDatabase" localSheetId="3" hidden="1">'Product Discontinued '!$B$1:$H$20</definedName>
    <definedName name="ExternalData_1" localSheetId="7" hidden="1">Sheet2!$A$1:$C$193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17" i="10" l="1"/>
  <c r="H1617" i="10" s="1"/>
  <c r="G1616" i="10"/>
  <c r="H1616" i="10" s="1"/>
  <c r="G1615" i="10"/>
  <c r="H1615" i="10" s="1"/>
  <c r="G1612" i="10"/>
  <c r="G1614" i="10" l="1"/>
  <c r="H1614" i="10" s="1"/>
  <c r="G1613" i="10"/>
  <c r="H1613" i="10" s="1"/>
  <c r="H1612" i="10"/>
  <c r="H1476" i="10" l="1"/>
  <c r="H1480" i="10"/>
  <c r="F2" i="10" a="1"/>
  <c r="F2" i="10" s="1"/>
  <c r="H1600" i="10" l="1"/>
  <c r="H1067" i="10" l="1"/>
  <c r="H1066" i="10"/>
  <c r="H1039" i="10"/>
  <c r="H1009" i="10"/>
  <c r="H1000" i="10"/>
  <c r="H881" i="10"/>
  <c r="G1013" i="10"/>
  <c r="H892" i="10"/>
  <c r="H498" i="10"/>
  <c r="H917" i="10"/>
  <c r="H1136" i="10"/>
  <c r="H1027" i="10"/>
  <c r="H876" i="10"/>
  <c r="G1011" i="10"/>
  <c r="G1012" i="10"/>
  <c r="H971" i="10"/>
  <c r="G1021" i="10"/>
  <c r="G1020" i="10"/>
  <c r="G1018" i="10"/>
  <c r="G1010" i="10"/>
  <c r="G1007" i="10"/>
  <c r="G1003" i="10"/>
  <c r="G997" i="10"/>
  <c r="G979" i="10"/>
  <c r="G850" i="10"/>
  <c r="G845" i="10"/>
  <c r="G897" i="10"/>
  <c r="G896" i="10"/>
  <c r="G844" i="10"/>
  <c r="H1207" i="10"/>
  <c r="H732" i="10"/>
  <c r="H1286" i="10"/>
  <c r="H1147" i="10"/>
  <c r="H1356" i="10"/>
  <c r="H1355" i="10"/>
  <c r="H1354" i="10"/>
  <c r="H1353" i="10"/>
  <c r="H709" i="10"/>
  <c r="H542" i="10"/>
  <c r="H540" i="10"/>
  <c r="H550" i="10"/>
  <c r="H1345" i="10"/>
  <c r="H1116" i="10"/>
  <c r="H779" i="10"/>
  <c r="H623" i="10"/>
  <c r="H795" i="10"/>
  <c r="H1277" i="10"/>
  <c r="H1233" i="10"/>
  <c r="H1445" i="10"/>
  <c r="H676" i="10"/>
  <c r="H1280" i="10"/>
  <c r="H1276" i="10"/>
  <c r="H651" i="10"/>
  <c r="H1275" i="10"/>
  <c r="H1274" i="10"/>
  <c r="H1108" i="10"/>
  <c r="H640" i="10"/>
  <c r="H638" i="10"/>
  <c r="H1257" i="10"/>
  <c r="H1256" i="10"/>
  <c r="H1107" i="10"/>
  <c r="H627" i="10"/>
  <c r="H626" i="10"/>
  <c r="H617" i="10"/>
  <c r="H1339" i="10"/>
  <c r="H1334" i="10"/>
  <c r="H1333" i="10"/>
  <c r="H1328" i="10"/>
  <c r="H1326" i="10"/>
  <c r="H1327" i="10"/>
  <c r="H1324" i="10"/>
  <c r="H1323" i="10"/>
  <c r="H712" i="10"/>
  <c r="H1312" i="10"/>
  <c r="H1311" i="10"/>
  <c r="H1301" i="10"/>
  <c r="H1417" i="10"/>
  <c r="H1415" i="10"/>
  <c r="H1414" i="10"/>
  <c r="H1411" i="10"/>
  <c r="H1395" i="10"/>
  <c r="H1392" i="10"/>
  <c r="H1390" i="10"/>
  <c r="H767" i="10"/>
  <c r="H764" i="10"/>
  <c r="H1373" i="10"/>
  <c r="H752" i="10"/>
  <c r="H1361" i="10"/>
  <c r="H1360" i="10"/>
  <c r="H739" i="10"/>
  <c r="H736" i="10"/>
  <c r="H1449" i="10"/>
  <c r="H819" i="10"/>
  <c r="H1448" i="10"/>
  <c r="H1425" i="10"/>
  <c r="H1234" i="10"/>
  <c r="H1230" i="10"/>
  <c r="H1229" i="10"/>
  <c r="H1228" i="10"/>
  <c r="H607" i="10"/>
  <c r="H606" i="10"/>
  <c r="H1217" i="10"/>
  <c r="H1216" i="10"/>
  <c r="H1211" i="10"/>
  <c r="H1199" i="10"/>
  <c r="H1198" i="10"/>
  <c r="H1193" i="10"/>
  <c r="H1192" i="10"/>
  <c r="H574" i="10"/>
  <c r="H1183" i="10"/>
  <c r="H1177" i="10"/>
  <c r="H1165" i="10"/>
  <c r="H1154" i="10"/>
  <c r="H549" i="10"/>
  <c r="H548" i="10"/>
  <c r="H1146" i="10"/>
  <c r="H532" i="10"/>
  <c r="H1134" i="10"/>
  <c r="H1132" i="10"/>
  <c r="H1131" i="10"/>
  <c r="H525" i="10"/>
  <c r="H523" i="10"/>
  <c r="H1118" i="10"/>
  <c r="H1115" i="10"/>
  <c r="H1114" i="10"/>
  <c r="H1144" i="10"/>
  <c r="H1221" i="10"/>
  <c r="H1223" i="10"/>
  <c r="H605" i="10"/>
  <c r="H1442" i="10"/>
  <c r="H1441" i="10"/>
  <c r="H1438" i="10"/>
  <c r="H1434" i="10"/>
  <c r="H799" i="10"/>
  <c r="H794" i="10"/>
  <c r="H793" i="10"/>
  <c r="H792" i="10"/>
  <c r="H1308" i="10"/>
  <c r="H1307" i="10"/>
  <c r="H1297" i="10"/>
  <c r="H1296" i="10"/>
  <c r="H1295" i="10"/>
  <c r="H1279" i="10"/>
  <c r="H1261" i="10"/>
  <c r="H1215" i="10"/>
  <c r="H1214" i="10"/>
  <c r="H1182" i="10"/>
  <c r="H1181" i="10"/>
  <c r="H1171" i="10"/>
  <c r="H1164" i="10"/>
  <c r="H1163" i="10"/>
  <c r="H539" i="10"/>
  <c r="H1140" i="10"/>
  <c r="H530" i="10"/>
  <c r="H1138" i="10"/>
  <c r="H1137" i="10"/>
  <c r="H1124" i="10"/>
  <c r="H1250" i="10"/>
  <c r="H1249" i="10"/>
  <c r="H1176" i="10"/>
  <c r="H1175" i="10"/>
  <c r="H1405" i="10"/>
  <c r="H1322" i="10"/>
  <c r="H1317" i="10"/>
  <c r="H1240" i="10"/>
  <c r="H1206" i="10"/>
  <c r="H587" i="10"/>
  <c r="H1197" i="10"/>
  <c r="H1400" i="10"/>
  <c r="H776" i="10"/>
  <c r="H1397" i="10"/>
  <c r="H1387" i="10"/>
  <c r="H1383" i="10"/>
  <c r="H762" i="10"/>
  <c r="H1367" i="10"/>
  <c r="H1366" i="10"/>
  <c r="H1352" i="10"/>
  <c r="H1338" i="10"/>
  <c r="H1331" i="10"/>
  <c r="H1309" i="10"/>
  <c r="H700" i="10"/>
  <c r="H1285" i="10"/>
  <c r="H1284" i="10"/>
  <c r="H1245" i="10"/>
  <c r="H1191" i="10"/>
  <c r="H1188" i="10"/>
  <c r="H1187" i="10"/>
  <c r="H1170" i="10"/>
  <c r="H1112" i="10"/>
  <c r="H1111" i="10"/>
  <c r="H1344" i="10"/>
  <c r="H536" i="10"/>
  <c r="H1343" i="10"/>
  <c r="H742" i="10"/>
  <c r="H571" i="10"/>
  <c r="H1424" i="10"/>
  <c r="H1232" i="10"/>
  <c r="H554" i="10"/>
  <c r="H1143" i="10"/>
  <c r="H1123" i="10"/>
  <c r="H1351" i="10"/>
  <c r="H1210" i="10"/>
  <c r="H1310" i="10"/>
  <c r="H798" i="10"/>
  <c r="H642" i="10"/>
  <c r="H1169" i="10"/>
  <c r="H1386" i="10"/>
  <c r="H728" i="10"/>
  <c r="H1305" i="10"/>
  <c r="H1270" i="10"/>
  <c r="H1433" i="10"/>
  <c r="H1423" i="10"/>
  <c r="H1404" i="10"/>
  <c r="H1365" i="10"/>
  <c r="H1342" i="10"/>
  <c r="H1321" i="10"/>
  <c r="H1316" i="10"/>
  <c r="H1269" i="10"/>
  <c r="H1239" i="10"/>
  <c r="H1205" i="10"/>
  <c r="H1196" i="10"/>
  <c r="H1122" i="10"/>
  <c r="H1304" i="10"/>
  <c r="H1444" i="10"/>
  <c r="H1127" i="10"/>
  <c r="H670" i="10"/>
  <c r="H1447" i="10"/>
  <c r="H1378" i="10"/>
  <c r="H1370" i="10"/>
  <c r="H721" i="10"/>
  <c r="H547" i="10"/>
  <c r="H573" i="10"/>
  <c r="H775" i="10"/>
  <c r="H797" i="10"/>
  <c r="H564" i="10"/>
  <c r="H1432" i="10"/>
  <c r="H1431" i="10"/>
  <c r="H1268" i="10"/>
  <c r="H1267" i="10"/>
  <c r="H1186" i="10"/>
  <c r="H1330" i="10"/>
  <c r="H1396" i="10"/>
  <c r="H761" i="10"/>
  <c r="H699" i="10"/>
  <c r="H1419" i="10"/>
  <c r="H1185" i="10"/>
  <c r="H535" i="10"/>
  <c r="H1350" i="10"/>
  <c r="H1364" i="10"/>
  <c r="H727" i="10"/>
  <c r="H1190" i="10"/>
  <c r="H1168" i="10"/>
  <c r="H1158" i="10"/>
  <c r="H1283" i="10"/>
  <c r="H1110" i="10"/>
  <c r="H1382" i="10"/>
  <c r="H1244" i="10"/>
  <c r="H1385" i="10"/>
  <c r="H711" i="10"/>
  <c r="H809" i="10"/>
  <c r="H803" i="10"/>
  <c r="H600" i="10"/>
  <c r="H1113" i="10"/>
  <c r="H818" i="10"/>
  <c r="H1282" i="10"/>
  <c r="H674" i="10"/>
  <c r="H673" i="10"/>
  <c r="H520" i="10"/>
  <c r="H788" i="10"/>
  <c r="H1430" i="10"/>
  <c r="H808" i="10"/>
  <c r="H528" i="10"/>
  <c r="H1399" i="10"/>
  <c r="H703" i="10"/>
  <c r="H675" i="10"/>
  <c r="H1150" i="10"/>
  <c r="H645" i="10"/>
  <c r="H659" i="10"/>
  <c r="H522" i="10"/>
  <c r="H1377" i="10"/>
  <c r="H1384" i="10"/>
  <c r="H636" i="10"/>
  <c r="H632" i="10"/>
  <c r="H787" i="10"/>
  <c r="H1148" i="10"/>
  <c r="H558" i="10"/>
  <c r="H1410" i="10"/>
  <c r="H785" i="10"/>
  <c r="H604" i="10"/>
  <c r="H514" i="10"/>
  <c r="H515" i="10"/>
  <c r="H1409" i="10"/>
  <c r="H784" i="10"/>
  <c r="H1121" i="10"/>
  <c r="H695" i="10"/>
  <c r="H519" i="10"/>
  <c r="H635" i="10"/>
  <c r="H710" i="10"/>
  <c r="H740" i="10"/>
  <c r="H722" i="10"/>
  <c r="H541" i="10"/>
  <c r="H546" i="10"/>
  <c r="H737" i="10"/>
  <c r="H741" i="10"/>
  <c r="H534" i="10"/>
  <c r="H738" i="10"/>
  <c r="H760" i="10"/>
  <c r="H698" i="10"/>
  <c r="H625" i="10"/>
  <c r="H634" i="10"/>
  <c r="H533" i="10"/>
  <c r="H599" i="10"/>
  <c r="H1416" i="10"/>
  <c r="H1179" i="10"/>
  <c r="H572" i="10"/>
  <c r="H1145" i="10"/>
  <c r="H701" i="10"/>
  <c r="H697" i="10"/>
  <c r="H694" i="10"/>
  <c r="H597" i="10"/>
  <c r="H631" i="10"/>
  <c r="H562" i="10"/>
  <c r="H641" i="10"/>
  <c r="H592" i="10"/>
  <c r="H630" i="10"/>
  <c r="H580" i="10"/>
  <c r="H820" i="10"/>
  <c r="H800" i="10"/>
  <c r="H780" i="10"/>
  <c r="H1388" i="10"/>
  <c r="H750" i="10"/>
  <c r="H1348" i="10"/>
  <c r="H759" i="10"/>
  <c r="H696" i="10"/>
  <c r="H702" i="10"/>
  <c r="H667" i="10"/>
  <c r="H1224" i="10"/>
  <c r="H1258" i="10"/>
  <c r="H637" i="10"/>
  <c r="H1246" i="10"/>
  <c r="H1200" i="10"/>
  <c r="H584" i="10"/>
  <c r="H611" i="10"/>
  <c r="H568" i="10"/>
  <c r="H531" i="10"/>
  <c r="H1429" i="10"/>
  <c r="H791" i="10"/>
  <c r="H588" i="10"/>
  <c r="H692" i="10"/>
  <c r="H1226" i="10"/>
  <c r="H1439" i="10"/>
  <c r="H1129" i="10"/>
  <c r="H1437" i="10"/>
  <c r="H526" i="10"/>
  <c r="H521" i="10"/>
  <c r="H689" i="10"/>
  <c r="H684" i="10"/>
  <c r="H658" i="10"/>
  <c r="H556" i="10"/>
  <c r="H753" i="10"/>
  <c r="H518" i="10"/>
  <c r="H1422" i="10"/>
  <c r="H1402" i="10"/>
  <c r="H1362" i="10"/>
  <c r="H1347" i="10"/>
  <c r="H1340" i="10"/>
  <c r="H1318" i="10"/>
  <c r="H1314" i="10"/>
  <c r="H1263" i="10"/>
  <c r="H1237" i="10"/>
  <c r="H1209" i="10"/>
  <c r="H1202" i="10"/>
  <c r="H1194" i="10"/>
  <c r="H524" i="10"/>
  <c r="H1120" i="10"/>
  <c r="H772" i="10"/>
  <c r="H770" i="10"/>
  <c r="H768" i="10"/>
  <c r="H765" i="10"/>
  <c r="H747" i="10"/>
  <c r="H743" i="10"/>
  <c r="H1335" i="10"/>
  <c r="H719" i="10"/>
  <c r="H672" i="10"/>
  <c r="H624" i="10"/>
  <c r="H583" i="10"/>
  <c r="H581" i="10"/>
  <c r="H561" i="10"/>
  <c r="H557" i="10"/>
  <c r="H516" i="10"/>
  <c r="H790" i="10"/>
  <c r="H1428" i="10"/>
  <c r="H1375" i="10"/>
  <c r="H1369" i="10"/>
  <c r="H679" i="10"/>
  <c r="H1293" i="10"/>
  <c r="H646" i="10"/>
  <c r="H1218" i="10"/>
  <c r="H601" i="10"/>
  <c r="H1173" i="10"/>
  <c r="H1161" i="10"/>
  <c r="H1292" i="10"/>
  <c r="H652" i="10"/>
  <c r="H1212" i="10"/>
  <c r="H1201" i="10"/>
  <c r="H1166" i="10"/>
  <c r="H1160" i="10"/>
  <c r="H1332" i="10"/>
  <c r="H1141" i="10"/>
  <c r="H1443" i="10"/>
  <c r="H801" i="10"/>
  <c r="H796" i="10"/>
  <c r="H786" i="10"/>
  <c r="H804" i="10"/>
  <c r="H1403" i="10"/>
  <c r="H1398" i="10"/>
  <c r="H773" i="10"/>
  <c r="H769" i="10"/>
  <c r="H1341" i="10"/>
  <c r="H1336" i="10"/>
  <c r="H680" i="10"/>
  <c r="H671" i="10"/>
  <c r="H647" i="10"/>
  <c r="H1243" i="10"/>
  <c r="H1238" i="10"/>
  <c r="H1213" i="10"/>
  <c r="H1195" i="10"/>
  <c r="H1174" i="10"/>
  <c r="H1167" i="10"/>
  <c r="H1133" i="10"/>
  <c r="H1130" i="10"/>
  <c r="H1109" i="10"/>
  <c r="H822" i="10"/>
  <c r="H821" i="10"/>
  <c r="H817" i="10"/>
  <c r="H816" i="10"/>
  <c r="H1440" i="10"/>
  <c r="H806" i="10"/>
  <c r="H1421" i="10"/>
  <c r="H789" i="10"/>
  <c r="H783" i="10"/>
  <c r="H777" i="10"/>
  <c r="H771" i="10"/>
  <c r="H1381" i="10"/>
  <c r="H1374" i="10"/>
  <c r="H757" i="10"/>
  <c r="H1368" i="10"/>
  <c r="H1363" i="10"/>
  <c r="H746" i="10"/>
  <c r="H745" i="10"/>
  <c r="H1346" i="10"/>
  <c r="H729" i="10"/>
  <c r="H724" i="10"/>
  <c r="H723" i="10"/>
  <c r="H1329" i="10"/>
  <c r="H718" i="10"/>
  <c r="H717" i="10"/>
  <c r="H716" i="10"/>
  <c r="H714" i="10"/>
  <c r="H713" i="10"/>
  <c r="H1319" i="10"/>
  <c r="H1315" i="10"/>
  <c r="H705" i="10"/>
  <c r="H693" i="10"/>
  <c r="H1302" i="10"/>
  <c r="H1294" i="10"/>
  <c r="H1291" i="10"/>
  <c r="H1278" i="10"/>
  <c r="H1262" i="10"/>
  <c r="H1231" i="10"/>
  <c r="H1222" i="10"/>
  <c r="H602" i="10"/>
  <c r="H598" i="10"/>
  <c r="H1281" i="10"/>
  <c r="H653" i="10"/>
  <c r="H1264" i="10"/>
  <c r="H610" i="10"/>
  <c r="H1227" i="10"/>
  <c r="H593" i="10"/>
  <c r="H1203" i="10"/>
  <c r="H589" i="10"/>
  <c r="H585" i="10"/>
  <c r="H1189" i="10"/>
  <c r="H582" i="10"/>
  <c r="H1180" i="10"/>
  <c r="H560" i="10"/>
  <c r="H1162" i="10"/>
  <c r="H1157" i="10"/>
  <c r="H1153" i="10"/>
  <c r="H1151" i="10"/>
  <c r="H545" i="10"/>
  <c r="H1149" i="10"/>
  <c r="H1142" i="10"/>
  <c r="H1139" i="10"/>
  <c r="H1135" i="10"/>
  <c r="H1126" i="10"/>
  <c r="H1119" i="10"/>
  <c r="H1117" i="10"/>
  <c r="H51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Karn Songwuittiwichai</author>
    <author>Pattharathida Parungkul</author>
    <author>tc={888BD9B4-182F-4702-8767-F4B66B8AC05F}</author>
    <author>tc={2ADEA4FE-9B6B-4EBD-B63E-B8FF2A794E0B}</author>
    <author>tc={1EF196D1-582E-4DEB-88B7-D14686CA2775}</author>
    <author>tc={A7AE4AC2-079A-4F8C-95CD-31A8F3276B96}</author>
    <author>tc={BB134A77-A3E2-4E6A-A87C-5103266F945B}</author>
    <author>tc={EBBE803C-18A7-43F7-89E4-80926DA99F82}</author>
    <author>tc={A14023E9-525B-4E7B-AF70-798971F5B5AF}</author>
    <author>tc={BB965487-26AF-451F-9C58-0D94ADF63A9F}</author>
    <author>tc={4EE91507-84BD-4E4A-B8CF-6DA00C2B895C}</author>
  </authors>
  <commentList>
    <comment ref="G2" authorId="0" shapeId="0" xr:uid="{02927F30-A92F-4A14-91A0-D459E713DDB2}">
      <text>
        <r>
          <rPr>
            <b/>
            <sz val="9"/>
            <color indexed="81"/>
            <rFont val="Tahoma"/>
            <family val="2"/>
          </rPr>
          <t>Herb and Spice Extract</t>
        </r>
      </text>
    </comment>
    <comment ref="H2" authorId="0" shapeId="0" xr:uid="{3B8ABE86-9C5E-49D4-B020-32C679F13E9D}">
      <text>
        <r>
          <rPr>
            <b/>
            <sz val="9"/>
            <color indexed="81"/>
            <rFont val="Tahoma"/>
            <family val="2"/>
          </rPr>
          <t>Herb and Spice Extract</t>
        </r>
        <r>
          <rPr>
            <sz val="9"/>
            <color indexed="81"/>
            <rFont val="Tahoma"/>
            <family val="2"/>
          </rPr>
          <t xml:space="preserve">
</t>
        </r>
      </text>
    </comment>
    <comment ref="I2" authorId="0" shapeId="0" xr:uid="{5267E2D3-76D2-47A1-8053-3896346EFFB7}">
      <text>
        <r>
          <rPr>
            <b/>
            <sz val="9"/>
            <color indexed="81"/>
            <rFont val="Tahoma"/>
            <family val="2"/>
          </rPr>
          <t>Color</t>
        </r>
        <r>
          <rPr>
            <sz val="9"/>
            <color indexed="81"/>
            <rFont val="Tahoma"/>
            <family val="2"/>
          </rPr>
          <t xml:space="preserve">
</t>
        </r>
      </text>
    </comment>
    <comment ref="I150" authorId="1" shapeId="0" xr:uid="{17F73576-379A-4CA3-BFFC-3A6F4FB04A90}">
      <text>
        <r>
          <rPr>
            <b/>
            <sz val="9"/>
            <color indexed="81"/>
            <rFont val="Tahoma"/>
            <family val="2"/>
          </rPr>
          <t>Pattharathida Parungkul:</t>
        </r>
        <r>
          <rPr>
            <sz val="9"/>
            <color indexed="81"/>
            <rFont val="Tahoma"/>
            <family val="2"/>
          </rPr>
          <t xml:space="preserve">
PACKING 11.34 KG BAG IN BOX</t>
        </r>
      </text>
    </comment>
    <comment ref="I181" authorId="2" shapeId="0" xr:uid="{888BD9B4-182F-4702-8767-F4B66B8AC05F}">
      <text>
        <t>[Threaded comment]
Your version of Excel allows you to read this threaded comment; however, any edits to it will get removed if the file is opened in a newer version of Excel. Learn more: https://go.microsoft.com/fwlink/?linkid=870924
Comment:
    The pack size of this item is only in 11.34kg.</t>
      </text>
    </comment>
    <comment ref="I192" authorId="3" shapeId="0" xr:uid="{2ADEA4FE-9B6B-4EBD-B63E-B8FF2A794E0B}">
      <text>
        <t>[Threaded comment]
Your version of Excel allows you to read this threaded comment; however, any edits to it will get removed if the file is opened in a newer version of Excel. Learn more: https://go.microsoft.com/fwlink/?linkid=870924
Comment:
    Packing size 10 kg BIB</t>
      </text>
    </comment>
    <comment ref="I403" authorId="1" shapeId="0" xr:uid="{5F9B6864-9287-4FB6-95CF-7BBBE410569A}">
      <text>
        <r>
          <rPr>
            <b/>
            <sz val="9"/>
            <color indexed="81"/>
            <rFont val="Tahoma"/>
            <family val="2"/>
          </rPr>
          <t>Packaging 11.34 kg</t>
        </r>
        <r>
          <rPr>
            <sz val="9"/>
            <color indexed="81"/>
            <rFont val="Tahoma"/>
            <family val="2"/>
          </rPr>
          <t xml:space="preserve">
</t>
        </r>
      </text>
    </comment>
    <comment ref="G562" authorId="4" shapeId="0" xr:uid="{1EF196D1-582E-4DEB-88B7-D14686CA2775}">
      <text>
        <t>[Threaded comment]
Your version of Excel allows you to read this threaded comment; however, any edits to it will get removed if the file is opened in a newer version of Excel. Learn more: https://go.microsoft.com/fwlink/?linkid=870924
Comment:
    Discount $6/kg for +-500 kg</t>
      </text>
    </comment>
    <comment ref="H562" authorId="5" shapeId="0" xr:uid="{A7AE4AC2-079A-4F8C-95CD-31A8F3276B96}">
      <text>
        <t>[Threaded comment]
Your version of Excel allows you to read this threaded comment; however, any edits to it will get removed if the file is opened in a newer version of Excel. Learn more: https://go.microsoft.com/fwlink/?linkid=870924
Comment:
    Discount $6/kg for +-500 kg</t>
      </text>
    </comment>
    <comment ref="C943" authorId="6" shapeId="0" xr:uid="{BB134A77-A3E2-4E6A-A87C-5103266F945B}">
      <text>
        <t>[Threaded comment]
Your version of Excel allows you to read this threaded comment; however, any edits to it will get removed if the file is opened in a newer version of Excel. Learn more: https://go.microsoft.com/fwlink/?linkid=870924
Comment:
    deactivate possibility</t>
      </text>
    </comment>
    <comment ref="A968" authorId="7" shapeId="0" xr:uid="{EBBE803C-18A7-43F7-89E4-80926DA99F82}">
      <text>
        <t>[Threaded comment]
Your version of Excel allows you to read this threaded comment; however, any edits to it will get removed if the file is opened in a newer version of Excel. Learn more: https://go.microsoft.com/fwlink/?linkid=870924
Comment:
    griffith</t>
      </text>
    </comment>
    <comment ref="G1177" authorId="8" shapeId="0" xr:uid="{A14023E9-525B-4E7B-AF70-798971F5B5AF}">
      <text>
        <t>[Threaded comment]
Your version of Excel allows you to read this threaded comment; however, any edits to it will get removed if the file is opened in a newer version of Excel. Learn more: https://go.microsoft.com/fwlink/?linkid=870924
Comment:
    Discount $6/kg for +-500 kg</t>
      </text>
    </comment>
    <comment ref="H1177" authorId="9" shapeId="0" xr:uid="{BB965487-26AF-451F-9C58-0D94ADF63A9F}">
      <text>
        <t>[Threaded comment]
Your version of Excel allows you to read this threaded comment; however, any edits to it will get removed if the file is opened in a newer version of Excel. Learn more: https://go.microsoft.com/fwlink/?linkid=870924
Comment:
    Discount $6/kg for +-500 kg</t>
      </text>
    </comment>
    <comment ref="A1500" authorId="10" shapeId="0" xr:uid="{4EE91507-84BD-4E4A-B8CF-6DA00C2B895C}">
      <text>
        <t>[Threaded comment]
Your version of Excel allows you to read this threaded comment; however, any edits to it will get removed if the file is opened in a newer version of Excel. Learn more: https://go.microsoft.com/fwlink/?linkid=870924
Comment:
    griffith</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<sst xmlns="http://schemas.openxmlformats.org/spreadsheetml/2006/main" count="13053" uniqueCount="2131">
  <si>
    <t xml:space="preserve">Definition </t>
  </si>
  <si>
    <t>GOOD TO GO</t>
  </si>
  <si>
    <t xml:space="preserve">The price has been recently considered for Single Price Contract or recently check. Therefore, it is still effective until there is any furhter notice </t>
  </si>
  <si>
    <t>CHECK WITH PM</t>
  </si>
  <si>
    <t>The price was received from the last year and not been considered / checked recently, we need to check with Kalsec Sales</t>
  </si>
  <si>
    <t>KALSEC® PRODUCT CODE</t>
  </si>
  <si>
    <t>KALSEC® PRODUCT DESCRIPTION</t>
  </si>
  <si>
    <t>ACTION NEED</t>
  </si>
  <si>
    <t>Action</t>
  </si>
  <si>
    <t>PRICE PER KG IN USD (15 KG PAIL)</t>
  </si>
  <si>
    <t>PRICE PER KG IN USD (3.2/3.4 KG BOTTLE)</t>
  </si>
  <si>
    <t>BUYER NAME</t>
  </si>
  <si>
    <t>Expiry Date</t>
  </si>
  <si>
    <t>Remark</t>
  </si>
  <si>
    <t>Multiple Pricing</t>
  </si>
  <si>
    <t>UPDATE AS</t>
  </si>
  <si>
    <t>62.510.02</t>
  </si>
  <si>
    <t>DURALOX BLEND NV-3</t>
  </si>
  <si>
    <t>GOOD TO GO 2025</t>
  </si>
  <si>
    <t>Connell</t>
  </si>
  <si>
    <t>Yes</t>
  </si>
  <si>
    <t>L/T 10 working days, 100 kg</t>
  </si>
  <si>
    <t>62.220.35</t>
  </si>
  <si>
    <t>DURALOX BLEND AN-20 WD</t>
  </si>
  <si>
    <t>62.220.32</t>
  </si>
  <si>
    <t>DURALOX BLEND MANC-213</t>
  </si>
  <si>
    <t>22.89.42</t>
  </si>
  <si>
    <t>GOCHUJANG</t>
  </si>
  <si>
    <t>GOOD TO GO 2024</t>
  </si>
  <si>
    <t>22.31.021</t>
  </si>
  <si>
    <t>KIMCHI SPICES</t>
  </si>
  <si>
    <t>22.02.054</t>
  </si>
  <si>
    <t>NATURAL KIMCHI</t>
  </si>
  <si>
    <t>22.02.95</t>
  </si>
  <si>
    <t>TACO SPICES</t>
  </si>
  <si>
    <t>22.39.47</t>
  </si>
  <si>
    <t>AQUARESIN TACO SPICES</t>
  </si>
  <si>
    <t>22.39.132</t>
  </si>
  <si>
    <t>AQUARESIN CURRY SPICES</t>
  </si>
  <si>
    <t>22.55.082</t>
  </si>
  <si>
    <t>NAT NASHVILLE HOT CHICKEN SEASONING</t>
  </si>
  <si>
    <t>22.48.023</t>
  </si>
  <si>
    <t>NATURAL LEMON PEPPER FLAVOR</t>
  </si>
  <si>
    <t>11.05</t>
  </si>
  <si>
    <t>OLEORESIN DILL</t>
  </si>
  <si>
    <t>48.007685</t>
  </si>
  <si>
    <t>LEMONGRASS OIL SOULUBLES</t>
  </si>
  <si>
    <t>01.010.00.39</t>
  </si>
  <si>
    <t>AQUARESIN TABASCO PEPPER</t>
  </si>
  <si>
    <t>22.01.102</t>
  </si>
  <si>
    <t>NATURAL BIRD'S EYE CHILI</t>
  </si>
  <si>
    <t>68.65.005</t>
  </si>
  <si>
    <t>SAVORY FLAVOR BOOSTER</t>
  </si>
  <si>
    <t>quoted on 22 nov 24</t>
  </si>
  <si>
    <t>15-16 weeks, air freight from Kalamazoo to Kalsec Senoko</t>
  </si>
  <si>
    <t xml:space="preserve">AQUARESIN® CAPSICUM &amp; PEPPER BLEND, NS                      </t>
  </si>
  <si>
    <t>ALL CUSTOMER</t>
  </si>
  <si>
    <r>
      <t>30</t>
    </r>
    <r>
      <rPr>
        <vertAlign val="superscript"/>
        <sz val="8"/>
        <color rgb="FF000000"/>
        <rFont val="Calibri"/>
        <family val="2"/>
        <scheme val="minor"/>
      </rPr>
      <t>th</t>
    </r>
    <r>
      <rPr>
        <sz val="8"/>
        <color rgb="FF000000"/>
        <rFont val="Calibri"/>
        <family val="2"/>
        <scheme val="minor"/>
      </rPr>
      <t xml:space="preserve"> September 2024</t>
    </r>
  </si>
  <si>
    <t>quoted on 4 Apr 24</t>
  </si>
  <si>
    <t>10 working days</t>
  </si>
  <si>
    <t>22.91.031</t>
  </si>
  <si>
    <t>TOASTED SESAME TYPE FLAVOR - NATURAL</t>
  </si>
  <si>
    <t>15 working days</t>
  </si>
  <si>
    <t>09.04</t>
  </si>
  <si>
    <t>OLEORESIN CELERY, FRENCH</t>
  </si>
  <si>
    <t>Kerry / ALL CUSTOMER</t>
  </si>
  <si>
    <t>DURABRITE RED BEET POWDER</t>
  </si>
  <si>
    <t>QUOTED ON 4 APR 24</t>
  </si>
  <si>
    <t>PACKING SIZE 15 KG POWDER ONLY</t>
  </si>
  <si>
    <t>55.005.00.01</t>
  </si>
  <si>
    <t>OLEORESIN JALAPENO PEPPER EXTRACT, MILD, NS</t>
  </si>
  <si>
    <t>QUOTED ON 24 MAR 24</t>
  </si>
  <si>
    <t>47.01</t>
  </si>
  <si>
    <t xml:space="preserve">OLEORESIN BASIL, NS </t>
  </si>
  <si>
    <t>22.997206</t>
  </si>
  <si>
    <t>AQUARESIN HARISSA SPICE</t>
  </si>
  <si>
    <t>22.02.020</t>
  </si>
  <si>
    <t>NATURAL PAPRIKA FLAVOR</t>
  </si>
  <si>
    <t>31st Dec 2024</t>
  </si>
  <si>
    <t>QUOTED ON 15 MAR 24</t>
  </si>
  <si>
    <t>4 working days</t>
  </si>
  <si>
    <t>22.02.158</t>
  </si>
  <si>
    <t xml:space="preserve">OLEORESIN CHILI SPICE, MILD, NS </t>
  </si>
  <si>
    <t>NATURAL MEXICAN STYLE SEASONING EXTRACTS</t>
  </si>
  <si>
    <t>22.39.163</t>
  </si>
  <si>
    <t xml:space="preserve">AQUARESIN CAJUN SPICES, NS </t>
  </si>
  <si>
    <t>QUOTED ON 14 MAR 24</t>
  </si>
  <si>
    <t>55.006.00.603</t>
  </si>
  <si>
    <t>OLEORESIN SERRANO PEPPER EXPELLER PRESS</t>
  </si>
  <si>
    <t>QUOTED ON 26 fEB 24</t>
  </si>
  <si>
    <t>22.607014</t>
  </si>
  <si>
    <t>THAI GARLIC AND CORIANDER ROOT TYPE BLEND</t>
  </si>
  <si>
    <t xml:space="preserve">22.55.061 </t>
  </si>
  <si>
    <t>Ethiopian Berbere Flavor Blend</t>
  </si>
  <si>
    <t>INDICATIVE</t>
  </si>
  <si>
    <t>QUOTED ON 24 fEB 24</t>
  </si>
  <si>
    <t>22.657005</t>
  </si>
  <si>
    <t>AQUARESIN THAI GREEN CURRY</t>
  </si>
  <si>
    <t>all customer</t>
  </si>
  <si>
    <t>quoted on 4 Oct 2023</t>
  </si>
  <si>
    <t>yes</t>
  </si>
  <si>
    <t>22.697004</t>
  </si>
  <si>
    <t>TOM YAM SPICE BLEND</t>
  </si>
  <si>
    <t>QUOTED ON 9 OCT 23</t>
  </si>
  <si>
    <t>YES</t>
  </si>
  <si>
    <t>22.61.028</t>
  </si>
  <si>
    <t>ISOFRESH WHITE ONION TYPE FLAVOT</t>
  </si>
  <si>
    <t>22.51.050</t>
  </si>
  <si>
    <t>SIMPLY AQUARESIN SWEATED ONION TYPE FLAVOR</t>
  </si>
  <si>
    <t>22.89.70</t>
  </si>
  <si>
    <t>natural tomato flavor wonf</t>
  </si>
  <si>
    <t>31'MAR 24</t>
  </si>
  <si>
    <t>&lt;1000 KG THAIALDN</t>
  </si>
  <si>
    <t>08.02</t>
  </si>
  <si>
    <t>OIL OF SAGE, DALMATIAN</t>
  </si>
  <si>
    <t>&lt;100 KG / DG</t>
  </si>
  <si>
    <t>31.01</t>
  </si>
  <si>
    <t>OIL OF GARLIC PURE</t>
  </si>
  <si>
    <t>&lt;100 KG / DG CLASS3</t>
  </si>
  <si>
    <t>22.31.023</t>
  </si>
  <si>
    <t>ISOFRESH NATURAL GARLIC FLAVOR WONF</t>
  </si>
  <si>
    <t>01.025.00.06</t>
  </si>
  <si>
    <t xml:space="preserve">CLEARCAP® SUPER SOLUBLE CAPSICUM                            </t>
  </si>
  <si>
    <t xml:space="preserve">                       18.30 </t>
  </si>
  <si>
    <t xml:space="preserve">                23.30 </t>
  </si>
  <si>
    <t xml:space="preserve">2024 CONTRACT PRICE </t>
  </si>
  <si>
    <t>quoted 16 Jan 24</t>
  </si>
  <si>
    <t>01.030.02.639</t>
  </si>
  <si>
    <t xml:space="preserve">AQUARESIN® CAPSICUM, NS                                     </t>
  </si>
  <si>
    <t xml:space="preserve">                       34.80 </t>
  </si>
  <si>
    <t xml:space="preserve">                39.80 </t>
  </si>
  <si>
    <t>01.050.00.06</t>
  </si>
  <si>
    <t xml:space="preserve">                       21.74 </t>
  </si>
  <si>
    <t xml:space="preserve">                26.74 </t>
  </si>
  <si>
    <t>01.050.00.39</t>
  </si>
  <si>
    <t xml:space="preserve">AQUARESIN® CAPSICUM, DECOLORIZED, NS                        </t>
  </si>
  <si>
    <t xml:space="preserve">                       33.00 </t>
  </si>
  <si>
    <t xml:space="preserve">                38.00 </t>
  </si>
  <si>
    <t>01.100.00.03</t>
  </si>
  <si>
    <t xml:space="preserve">OLEORESIN CAPSICUM, DECOLORIZED, NS                         </t>
  </si>
  <si>
    <t xml:space="preserve">                       62.80 </t>
  </si>
  <si>
    <t xml:space="preserve">                67.80 </t>
  </si>
  <si>
    <t>01.100.03.03</t>
  </si>
  <si>
    <t xml:space="preserve">OLEORESIN CAPSICUM, AFRICAN, NS                             </t>
  </si>
  <si>
    <t xml:space="preserve">                       25.90 </t>
  </si>
  <si>
    <t xml:space="preserve">Volume         &gt;5,000.00 </t>
  </si>
  <si>
    <t>01.100.20.03</t>
  </si>
  <si>
    <t xml:space="preserve">OLEORESIN CAPSICUM, NS                                      </t>
  </si>
  <si>
    <t xml:space="preserve">                       52.40 </t>
  </si>
  <si>
    <t xml:space="preserve">                57.40 </t>
  </si>
  <si>
    <t>01.473003</t>
  </si>
  <si>
    <t xml:space="preserve">                       33.55 </t>
  </si>
  <si>
    <t xml:space="preserve">                38.55 </t>
  </si>
  <si>
    <t>02.040.39</t>
  </si>
  <si>
    <t xml:space="preserve">AQUARESIN® PAPRIKA, NS                                      </t>
  </si>
  <si>
    <t xml:space="preserve">                       36.90 </t>
  </si>
  <si>
    <t xml:space="preserve">                41.90 </t>
  </si>
  <si>
    <t>02.080.30</t>
  </si>
  <si>
    <t xml:space="preserve">DURABRITE® OLEORESIN PAPRIKA, NS                            </t>
  </si>
  <si>
    <t xml:space="preserve">                       50.16 </t>
  </si>
  <si>
    <t xml:space="preserve">                55.16 </t>
  </si>
  <si>
    <t>03.01</t>
  </si>
  <si>
    <t xml:space="preserve">OLEORESIN BLACK PEPPER                                      </t>
  </si>
  <si>
    <t xml:space="preserve">                       77.70 </t>
  </si>
  <si>
    <t xml:space="preserve">                82.70 </t>
  </si>
  <si>
    <t>03.21</t>
  </si>
  <si>
    <t xml:space="preserve">                     152.40 </t>
  </si>
  <si>
    <t xml:space="preserve">             157.40 </t>
  </si>
  <si>
    <t>03.21.39</t>
  </si>
  <si>
    <t xml:space="preserve">AQUARESIN® BLACK PEPPER,NS                                  </t>
  </si>
  <si>
    <t xml:space="preserve">                       77.30 </t>
  </si>
  <si>
    <t xml:space="preserve">                82.30 </t>
  </si>
  <si>
    <t>05.03</t>
  </si>
  <si>
    <t xml:space="preserve">OLEORESIN CLOVE, NS                                         </t>
  </si>
  <si>
    <t xml:space="preserve">                     145.31 </t>
  </si>
  <si>
    <t xml:space="preserve">             150.31 </t>
  </si>
  <si>
    <t>05.03.39</t>
  </si>
  <si>
    <t xml:space="preserve">AQUARESIN® CLOVE, NS                                        </t>
  </si>
  <si>
    <t xml:space="preserve">                       62.31 </t>
  </si>
  <si>
    <t xml:space="preserve">                67.31 </t>
  </si>
  <si>
    <t>06.02</t>
  </si>
  <si>
    <t xml:space="preserve">OIL OF CLOVE BUD                                            </t>
  </si>
  <si>
    <t xml:space="preserve">                     104.39 </t>
  </si>
  <si>
    <t xml:space="preserve">             109.39 </t>
  </si>
  <si>
    <t>07.06</t>
  </si>
  <si>
    <t xml:space="preserve">OLEORESIN SAGE, DALMATIAN, NS                               </t>
  </si>
  <si>
    <t xml:space="preserve">                       54.51 </t>
  </si>
  <si>
    <t xml:space="preserve">                59.51 </t>
  </si>
  <si>
    <t>07.11</t>
  </si>
  <si>
    <t xml:space="preserve">OLEORESIN SAGE, NS                                          </t>
  </si>
  <si>
    <t xml:space="preserve">                     101.45 </t>
  </si>
  <si>
    <t xml:space="preserve">             106.45 </t>
  </si>
  <si>
    <t>09.07</t>
  </si>
  <si>
    <t xml:space="preserve">OLEORESIN CELERY, SWEET                                     </t>
  </si>
  <si>
    <t xml:space="preserve">                       54.65 </t>
  </si>
  <si>
    <t xml:space="preserve">                59.65 </t>
  </si>
  <si>
    <t>12.075.101</t>
  </si>
  <si>
    <t xml:space="preserve">SIMPLY AQUARESIN™ TURMERIC G-1                              </t>
  </si>
  <si>
    <t xml:space="preserve">                       30.25 </t>
  </si>
  <si>
    <t xml:space="preserve">                35.25 </t>
  </si>
  <si>
    <t>12.100.28</t>
  </si>
  <si>
    <t xml:space="preserve">TURMERIC EXTRACT IN CANOLA OIL                              </t>
  </si>
  <si>
    <t xml:space="preserve">                       42.00 </t>
  </si>
  <si>
    <t xml:space="preserve">                47.00 </t>
  </si>
  <si>
    <t xml:space="preserve">OLEORESIN GINGER                                            </t>
  </si>
  <si>
    <t xml:space="preserve">                     144.23 </t>
  </si>
  <si>
    <t xml:space="preserve">             149.23 </t>
  </si>
  <si>
    <t xml:space="preserve">SUPER SOLUBLE GREEN GINGER                                  </t>
  </si>
  <si>
    <t xml:space="preserve">                     113.30 </t>
  </si>
  <si>
    <t xml:space="preserve">             118.30 </t>
  </si>
  <si>
    <t xml:space="preserve">OIL OF GINGER                                               </t>
  </si>
  <si>
    <t xml:space="preserve">                     166.35 </t>
  </si>
  <si>
    <t xml:space="preserve">             171.35 </t>
  </si>
  <si>
    <t xml:space="preserve">OLEORESIN GREEN GINGER, NS                                  </t>
  </si>
  <si>
    <t xml:space="preserve">                     100.00 </t>
  </si>
  <si>
    <t xml:space="preserve">             105.00 </t>
  </si>
  <si>
    <t xml:space="preserve">OLEORESIN MACE                                              </t>
  </si>
  <si>
    <t xml:space="preserve">                     112.80 </t>
  </si>
  <si>
    <t xml:space="preserve">             117.80 </t>
  </si>
  <si>
    <t xml:space="preserve">OLEORESIN ROSEMARY, NS                                      </t>
  </si>
  <si>
    <t xml:space="preserve">                       55.84 </t>
  </si>
  <si>
    <t xml:space="preserve">                60.84 </t>
  </si>
  <si>
    <t>19.06.39</t>
  </si>
  <si>
    <t xml:space="preserve">AQUARESIN® ROSEMARY, NS                                     </t>
  </si>
  <si>
    <t xml:space="preserve">                       45.00 </t>
  </si>
  <si>
    <t xml:space="preserve">                50.00 </t>
  </si>
  <si>
    <t xml:space="preserve">AQUARESIN® ITALIAN SPICE, NS                                </t>
  </si>
  <si>
    <t xml:space="preserve">                       72.00 </t>
  </si>
  <si>
    <t xml:space="preserve">                77.00 </t>
  </si>
  <si>
    <t>22.01.036</t>
  </si>
  <si>
    <t xml:space="preserve">HABANERO PEPPER FLAVOR WONF                                 </t>
  </si>
  <si>
    <t xml:space="preserve">                       61.15 </t>
  </si>
  <si>
    <t xml:space="preserve">                66.15 </t>
  </si>
  <si>
    <t>22.02.029</t>
  </si>
  <si>
    <t xml:space="preserve">OLEORESIN CHILI SPICE, NO HEAT, NS                          </t>
  </si>
  <si>
    <t>22.02.177</t>
  </si>
  <si>
    <t xml:space="preserve">OLEORESIN CHILI SPICE, HOT, NS                              </t>
  </si>
  <si>
    <t xml:space="preserve">AQUARESIN® CHORIZO SPICE, NS                                </t>
  </si>
  <si>
    <t xml:space="preserve">ZERO DEGREES® HABANERO WONF, OS                             </t>
  </si>
  <si>
    <t xml:space="preserve">                       55.45 </t>
  </si>
  <si>
    <t xml:space="preserve">                60.45 </t>
  </si>
  <si>
    <t>22.13.001</t>
  </si>
  <si>
    <t xml:space="preserve">AQUARESIN® TERIYAKI SPICE, NS                               </t>
  </si>
  <si>
    <t xml:space="preserve">                       60.70 </t>
  </si>
  <si>
    <t xml:space="preserve">                65.70 </t>
  </si>
  <si>
    <t>22.19.137</t>
  </si>
  <si>
    <t xml:space="preserve">AQUARESIN® CHILI SPICE, NS                                  </t>
  </si>
  <si>
    <t xml:space="preserve">                       63.61 </t>
  </si>
  <si>
    <t xml:space="preserve">                68.61 </t>
  </si>
  <si>
    <t>22.39.171</t>
  </si>
  <si>
    <t xml:space="preserve">OLEORESIN CHILI SPICE, NS                                   </t>
  </si>
  <si>
    <t xml:space="preserve">                       81.15 </t>
  </si>
  <si>
    <t xml:space="preserve">                86.15 </t>
  </si>
  <si>
    <t>22.39.202</t>
  </si>
  <si>
    <t xml:space="preserve">AQUARESIN® TANDOORI SPICE, NS                               </t>
  </si>
  <si>
    <t xml:space="preserve">                       67.33 </t>
  </si>
  <si>
    <t xml:space="preserve">                72.33 </t>
  </si>
  <si>
    <t xml:space="preserve">OLEORESIN BBQ GRILL SPICE WITH SMOKE W/D, NS                </t>
  </si>
  <si>
    <t xml:space="preserve">                       35.00 </t>
  </si>
  <si>
    <t xml:space="preserve">                40.00 </t>
  </si>
  <si>
    <t>22.51.023</t>
  </si>
  <si>
    <t xml:space="preserve">KIMCHI SPICE, O/S                                           </t>
  </si>
  <si>
    <t xml:space="preserve">                       42.85 </t>
  </si>
  <si>
    <t xml:space="preserve">                47.85 </t>
  </si>
  <si>
    <t>22.55.009</t>
  </si>
  <si>
    <t xml:space="preserve">GREEN BELL PEPPER FLAVOR WONF                               </t>
  </si>
  <si>
    <t xml:space="preserve">                       65.80 </t>
  </si>
  <si>
    <t xml:space="preserve">                70.80 </t>
  </si>
  <si>
    <t xml:space="preserve">THAI ROASTED CHILI SPICE BLEND                              </t>
  </si>
  <si>
    <t xml:space="preserve">                       46.50 </t>
  </si>
  <si>
    <t xml:space="preserve">                51.50 </t>
  </si>
  <si>
    <t xml:space="preserve">KIMCHI SPICE                                                </t>
  </si>
  <si>
    <t xml:space="preserve">                       41.00 </t>
  </si>
  <si>
    <t xml:space="preserve">                46.00 </t>
  </si>
  <si>
    <t>22.89.23</t>
  </si>
  <si>
    <t xml:space="preserve">GOCHUJANG TYPE FLAVOR - NATURAL                             </t>
  </si>
  <si>
    <t>22.89.25</t>
  </si>
  <si>
    <t xml:space="preserve">SUN DRIED TOMATO FLAVOR                                     </t>
  </si>
  <si>
    <t xml:space="preserve">                       42.10 </t>
  </si>
  <si>
    <t xml:space="preserve">                47.10 </t>
  </si>
  <si>
    <t xml:space="preserve">OLEORESIN CINNAMON                                          </t>
  </si>
  <si>
    <t xml:space="preserve">                     131.45 </t>
  </si>
  <si>
    <t xml:space="preserve">             136.45 </t>
  </si>
  <si>
    <t xml:space="preserve">GARLIC O/S, NS                                              </t>
  </si>
  <si>
    <t xml:space="preserve">                       32.00 </t>
  </si>
  <si>
    <t xml:space="preserve">                37.00 </t>
  </si>
  <si>
    <t>31.08.01</t>
  </si>
  <si>
    <t xml:space="preserve">FRIED GARLIC CONCENTRATE                                    </t>
  </si>
  <si>
    <t xml:space="preserve">                       40.00 </t>
  </si>
  <si>
    <t xml:space="preserve">                45.00 </t>
  </si>
  <si>
    <t xml:space="preserve">NATURAL SMOKED GARLIC TYPE FLAVOR                           </t>
  </si>
  <si>
    <t xml:space="preserve">                       38.00 </t>
  </si>
  <si>
    <t xml:space="preserve">                43.00 </t>
  </si>
  <si>
    <t xml:space="preserve">NATURAL FIRE ROASTED GARLIC TYPE FLAVOR                     </t>
  </si>
  <si>
    <t xml:space="preserve">                       34.20 </t>
  </si>
  <si>
    <t xml:space="preserve">                39.20 </t>
  </si>
  <si>
    <t>31.10.39</t>
  </si>
  <si>
    <t xml:space="preserve">AQUARESIN® GARLIC, NS                                       </t>
  </si>
  <si>
    <t xml:space="preserve">                       32.63 </t>
  </si>
  <si>
    <t xml:space="preserve">                37.63 </t>
  </si>
  <si>
    <t xml:space="preserve">GARLIC, OIL SOLUBLE, 80X, NS                                </t>
  </si>
  <si>
    <t xml:space="preserve">                       46.05 </t>
  </si>
  <si>
    <t xml:space="preserve">                51.05 </t>
  </si>
  <si>
    <t xml:space="preserve">Natural Roasted Garlic Flavor WONF                          </t>
  </si>
  <si>
    <t xml:space="preserve">                       20.43 </t>
  </si>
  <si>
    <t xml:space="preserve">                25.43 </t>
  </si>
  <si>
    <t xml:space="preserve">OLEORESIN MARJORAM, NS                                      </t>
  </si>
  <si>
    <t xml:space="preserve">                       93.50 </t>
  </si>
  <si>
    <t xml:space="preserve">                98.50 </t>
  </si>
  <si>
    <t xml:space="preserve">OLEORESIN OREGANO, NS                                       </t>
  </si>
  <si>
    <t xml:space="preserve">                     114.46 </t>
  </si>
  <si>
    <t xml:space="preserve">             119.46 </t>
  </si>
  <si>
    <t xml:space="preserve">OLEORESIN CUMIN                                             </t>
  </si>
  <si>
    <t xml:space="preserve">                     119.30 </t>
  </si>
  <si>
    <t xml:space="preserve">             124.30 </t>
  </si>
  <si>
    <t xml:space="preserve">OLEORESIN THYME, NS                                         </t>
  </si>
  <si>
    <t xml:space="preserve">                     202.35 </t>
  </si>
  <si>
    <t xml:space="preserve">             207.35 </t>
  </si>
  <si>
    <t>35.06.39</t>
  </si>
  <si>
    <t xml:space="preserve">AQUARESIN® THYME, NS                                        </t>
  </si>
  <si>
    <t xml:space="preserve">                     143.65 </t>
  </si>
  <si>
    <t xml:space="preserve">             148.65 </t>
  </si>
  <si>
    <t>37.160.27</t>
  </si>
  <si>
    <t xml:space="preserve">ACID PROOF ANNATTO, TYPENG                                  </t>
  </si>
  <si>
    <t xml:space="preserve">                       23.00 </t>
  </si>
  <si>
    <t xml:space="preserve">                28.00 </t>
  </si>
  <si>
    <t xml:space="preserve">OLEORESIN ROSEMARY, HERBALOX® BRAND, TYPE  XT-W             </t>
  </si>
  <si>
    <t xml:space="preserve">                       38.30 </t>
  </si>
  <si>
    <t xml:space="preserve">                43.30 </t>
  </si>
  <si>
    <t>41.19.16</t>
  </si>
  <si>
    <t xml:space="preserve">OLEORESIN ROSEMARY, HERBALOX® BRAND, TYPE O, NS             </t>
  </si>
  <si>
    <t xml:space="preserve">                       38.75 </t>
  </si>
  <si>
    <t xml:space="preserve">                43.75 </t>
  </si>
  <si>
    <t xml:space="preserve">OLEORESIN WHITE PEPPER                                      </t>
  </si>
  <si>
    <t xml:space="preserve">                     224.00 </t>
  </si>
  <si>
    <t xml:space="preserve">             229.00 </t>
  </si>
  <si>
    <t xml:space="preserve">SZECHUAN PEPPER OLEORESIN                                   </t>
  </si>
  <si>
    <t xml:space="preserve">                     212.00 </t>
  </si>
  <si>
    <t xml:space="preserve">             217.00 </t>
  </si>
  <si>
    <t xml:space="preserve">SOLUBLE KAFFIR LIME LEAF, NS                                </t>
  </si>
  <si>
    <t xml:space="preserve">                       76.65 </t>
  </si>
  <si>
    <t xml:space="preserve">                81.65 </t>
  </si>
  <si>
    <t>48.10.03</t>
  </si>
  <si>
    <t xml:space="preserve">OLEORESIN CILANTRO, TYPE C                                  </t>
  </si>
  <si>
    <t xml:space="preserve">                       29.21 </t>
  </si>
  <si>
    <t>48.10.19</t>
  </si>
  <si>
    <t xml:space="preserve">AQUARESIN® CILANTRO                                         </t>
  </si>
  <si>
    <t xml:space="preserve">                       62.00 </t>
  </si>
  <si>
    <t xml:space="preserve">                67.00 </t>
  </si>
  <si>
    <t>48.48.19</t>
  </si>
  <si>
    <t xml:space="preserve">AQUARESIN® OIL OF LEMON                                     </t>
  </si>
  <si>
    <t xml:space="preserve">                       85.45 </t>
  </si>
  <si>
    <t xml:space="preserve">                90.45 </t>
  </si>
  <si>
    <t>48.50.19</t>
  </si>
  <si>
    <t xml:space="preserve">AQUARESIN® OIL OF LIME                                      </t>
  </si>
  <si>
    <t xml:space="preserve">                       76.80 </t>
  </si>
  <si>
    <t xml:space="preserve">                81.80 </t>
  </si>
  <si>
    <t xml:space="preserve">NATURAL ROASTED ONION TYPE FLAVOR                           </t>
  </si>
  <si>
    <t xml:space="preserve">                       26.65 </t>
  </si>
  <si>
    <t xml:space="preserve">                31.65 </t>
  </si>
  <si>
    <t>51.18.39</t>
  </si>
  <si>
    <t xml:space="preserve">AQUARESIN® ONION, NS                                        </t>
  </si>
  <si>
    <t xml:space="preserve">                       43.95 </t>
  </si>
  <si>
    <t xml:space="preserve">                48.95 </t>
  </si>
  <si>
    <t xml:space="preserve">CARAMELIZED ONION FLAVOR, WONF, W/S                         </t>
  </si>
  <si>
    <t xml:space="preserve">                       18.40 </t>
  </si>
  <si>
    <t xml:space="preserve">                23.40 </t>
  </si>
  <si>
    <t>CARAMELIZED ONION FLAVOR, WONF, W/S</t>
  </si>
  <si>
    <t>GOOD TO GO 2023</t>
  </si>
  <si>
    <t xml:space="preserve">Archive </t>
  </si>
  <si>
    <t xml:space="preserve">Griffith Thailand </t>
  </si>
  <si>
    <t xml:space="preserve">Effective 01 Jan 23 - 31 Dec 23, Price Quoted on 27th Dec 2022 </t>
  </si>
  <si>
    <t>no</t>
  </si>
  <si>
    <t>MNC Contract price</t>
  </si>
  <si>
    <t>22.03.013</t>
  </si>
  <si>
    <t xml:space="preserve">TOASTED BLACK PEPPER WONF </t>
  </si>
  <si>
    <t>CPF/all customer</t>
  </si>
  <si>
    <t>Price quoted 11/5/23, &lt;100 KG</t>
  </si>
  <si>
    <t>Price quoted</t>
  </si>
  <si>
    <t>31.28</t>
  </si>
  <si>
    <t>THAI GARLIC REPLACER</t>
  </si>
  <si>
    <t>Good to Go 2023</t>
  </si>
  <si>
    <t>Connell /all customers</t>
  </si>
  <si>
    <t xml:space="preserve">Price quoted on 4 Apr 23 </t>
  </si>
  <si>
    <t>Price quoted for WCI and Winsome Green</t>
  </si>
  <si>
    <t>KIMCHI SPICE, O/S</t>
  </si>
  <si>
    <t>Price quote on 2 May 2023</t>
  </si>
  <si>
    <t>41.19.17</t>
  </si>
  <si>
    <t>OLEORESIN ROSEMARY HERBALOX TYPE W, NS</t>
  </si>
  <si>
    <t>Price quoted on 9 May 2023</t>
  </si>
  <si>
    <t>41.19.58</t>
  </si>
  <si>
    <t>OLEORESIN ROSEMARY, HERBALOX XT-O</t>
  </si>
  <si>
    <t>OLEORESIN BASIL. NS</t>
  </si>
  <si>
    <t>Price quoted on 8 May 2023</t>
  </si>
  <si>
    <t>59.02</t>
  </si>
  <si>
    <t>Vegetine Rich Red T2</t>
  </si>
  <si>
    <t>Price quoted on 10May 2023</t>
  </si>
  <si>
    <t>48.002</t>
  </si>
  <si>
    <t>Szechuan Pepper</t>
  </si>
  <si>
    <t xml:space="preserve">MCCORMICK </t>
  </si>
  <si>
    <t>Price quoted on 26 May 2023</t>
  </si>
  <si>
    <t>No</t>
  </si>
  <si>
    <t>quoted to McCormick TH only</t>
  </si>
  <si>
    <t>DURALOX OXIDATION MANAGEENT AN-20 WD, NS</t>
  </si>
  <si>
    <t>TU/all customer</t>
  </si>
  <si>
    <t>Price quoted on 29May 2023 at quantity 10 MT</t>
  </si>
  <si>
    <t>quoted to TU TH only</t>
  </si>
  <si>
    <t>62.225.01</t>
  </si>
  <si>
    <t>DURALOX OXIDATION MANAGEENT QST-25, NS</t>
  </si>
  <si>
    <t>AQUARESIN TERIYAKI SPICE, NS</t>
  </si>
  <si>
    <t>Connell/all customer</t>
  </si>
  <si>
    <t>PRICE QUOTED 7 JUNE 2023</t>
  </si>
  <si>
    <t>22.537130</t>
  </si>
  <si>
    <t>AQUARESIN TIKKA SPICE, NS</t>
  </si>
  <si>
    <t>55.001.00.01</t>
  </si>
  <si>
    <t>SMOKED PAPRIKA TYPE FLAVOR - NATURAL</t>
  </si>
  <si>
    <t>MCCORMICK /all customer</t>
  </si>
  <si>
    <t>price quote on 10 Jan 23</t>
  </si>
  <si>
    <t xml:space="preserve">Contract Price 2022 </t>
  </si>
  <si>
    <t>OLEORESIN BLACK PEPPER</t>
  </si>
  <si>
    <t xml:space="preserve">FCI </t>
  </si>
  <si>
    <t>Price quoted on 23 Feb 2023</t>
  </si>
  <si>
    <t>For Cargill project</t>
  </si>
  <si>
    <t>55.004.00.39</t>
  </si>
  <si>
    <t>AQUARESIN® CHIPOTLE, NS</t>
  </si>
  <si>
    <t>AQUARESIN® CAPSICUM, DECOLORIZED, NS</t>
  </si>
  <si>
    <t>HORSERADISH FLAVOUR WONF, NS</t>
  </si>
  <si>
    <t>EXPIRED</t>
  </si>
  <si>
    <t xml:space="preserve">CONNELL </t>
  </si>
  <si>
    <t xml:space="preserve">Use this price till further notice </t>
  </si>
  <si>
    <t>01.003488</t>
  </si>
  <si>
    <t>OLEORESIN CAPSICUM DOMESTIC, TYPE C</t>
  </si>
  <si>
    <t>GRIFFITH THAILAND</t>
  </si>
  <si>
    <t xml:space="preserve">Renewal Contract 2021 </t>
  </si>
  <si>
    <t>AQUARESIN® TABASCO PEPPER EXTRACT, NS</t>
  </si>
  <si>
    <t>01.010.00.601</t>
  </si>
  <si>
    <t>OLEORESIN TABASCO PEPPER EXTRACT</t>
  </si>
  <si>
    <t>KERRY THAILAND</t>
  </si>
  <si>
    <t>Price Quoted on 16th Jun 2021</t>
  </si>
  <si>
    <t>Price Quoted</t>
  </si>
  <si>
    <t>AQUARESIN® CAPSICUM, NS</t>
  </si>
  <si>
    <t>FCI THAILAND</t>
  </si>
  <si>
    <t>Price given on 23-Dec-20</t>
  </si>
  <si>
    <t xml:space="preserve">Price Quoted </t>
  </si>
  <si>
    <t>GOOD TO GO 2022</t>
  </si>
  <si>
    <t>01.050.01.606</t>
  </si>
  <si>
    <t>CLEARCAP® GHOST PEPPER EXTRACT</t>
  </si>
  <si>
    <t>01.100.00.39</t>
  </si>
  <si>
    <t>OLEORESIN CAPSICUM, AFRICAN, NS</t>
  </si>
  <si>
    <t>NEWLY WEDS THAILAND</t>
  </si>
  <si>
    <t>only for 
batch 1013377</t>
  </si>
  <si>
    <t xml:space="preserve">yes </t>
  </si>
  <si>
    <t>01.100.04.603</t>
  </si>
  <si>
    <t xml:space="preserve">OLEORESIN CAPSICUM, 
AFRICAN TYPE </t>
  </si>
  <si>
    <t xml:space="preserve">Price Quote, 
18th Feb 21,
100 - 1,000 kgs </t>
  </si>
  <si>
    <t xml:space="preserve">OLEORESIN CAPSICUM, NS </t>
  </si>
  <si>
    <t xml:space="preserve">YES </t>
  </si>
  <si>
    <t>Renewal Contract 2021</t>
  </si>
  <si>
    <t xml:space="preserve">Addendum Contract 2022 </t>
  </si>
  <si>
    <t>02.040.35</t>
  </si>
  <si>
    <t>DURABRITE® AQUARESIN® PAPRIKA, NS</t>
  </si>
  <si>
    <t>NESTLE THAILAND</t>
  </si>
  <si>
    <t>DURABRITE® OLEORESIN PAPRIKA, NS</t>
  </si>
  <si>
    <t>Not effective anymore according to Olaf's email on 11th June 2020</t>
  </si>
  <si>
    <t>Price Quoted on 1st July, 2021</t>
  </si>
  <si>
    <t xml:space="preserve">GOOD TO GO 2022 </t>
  </si>
  <si>
    <t xml:space="preserve">Price Quoted on 26th Jan 2022 </t>
  </si>
  <si>
    <t xml:space="preserve">02.080.30 </t>
  </si>
  <si>
    <t xml:space="preserve">CONNELL (Special Price for the customer 
who has the quantity increasing plan at least 200 kg/month from the purchased quantity in 2020. </t>
  </si>
  <si>
    <t xml:space="preserve">Price was given on 10 March 2021, with hope to get the additional 2-3 MT in 12 months starting from April 21. </t>
  </si>
  <si>
    <t>Price was given on 10 March 2021, with hope to get the additional 2-3 MT in 12 months starting from April 21. 
Price has been agreed by Kevin on 4th May 21.</t>
  </si>
  <si>
    <t>Price Quoted on 29th Mar 2022</t>
  </si>
  <si>
    <t>02.080.34</t>
  </si>
  <si>
    <t xml:space="preserve">OLEORESIN PAPRIKA, 80,000 NS </t>
  </si>
  <si>
    <t>CHECK WITH NAD</t>
  </si>
  <si>
    <t>02.096715</t>
  </si>
  <si>
    <t xml:space="preserve">DURABRITE® PAPRIKA W/S </t>
  </si>
  <si>
    <t xml:space="preserve">GREEN MONDAY </t>
  </si>
  <si>
    <t>Price Quoted on 6th April 21</t>
  </si>
  <si>
    <t>02.100.36</t>
  </si>
  <si>
    <t>OLEORESIN PAPRIKA</t>
  </si>
  <si>
    <t xml:space="preserve">OLEORESIN PAPRIKA </t>
  </si>
  <si>
    <t>CONNELL - NIPPN Only</t>
  </si>
  <si>
    <t>Price Quoted on 29th Sep 21, Quantity 4000 -6000 only. Dummy PO with &gt; 4 MT should be provided or have the approval from Kalsec to use the price in advance.</t>
  </si>
  <si>
    <t>02.506004</t>
  </si>
  <si>
    <t xml:space="preserve">DURABRRITE® PAPRIKA SOLUBLE, NS </t>
  </si>
  <si>
    <t>Price Quoted on 25 Mar 21, &lt;100 KG</t>
  </si>
  <si>
    <t>CONNELL</t>
  </si>
  <si>
    <t xml:space="preserve">Price Quoted on 7th Jan 2022, Price Effective on 1st Jan 2022 onward, &lt; 100 KG </t>
  </si>
  <si>
    <t>AQUARESIN® BLACK PEPPER, NS</t>
  </si>
  <si>
    <t>OLEORESIN CLOVE, NS</t>
  </si>
  <si>
    <t>UNILEVER THAILAND</t>
  </si>
  <si>
    <t>OIL OF CLOVE</t>
  </si>
  <si>
    <t>OLEORESIN SAGE, DALMATIAN, NS</t>
  </si>
  <si>
    <t>Price Quote</t>
  </si>
  <si>
    <t>09.01.39</t>
  </si>
  <si>
    <t xml:space="preserve">AQUARESIN® CELERY, NS </t>
  </si>
  <si>
    <t xml:space="preserve">PAUSE due to FDA Regulation </t>
  </si>
  <si>
    <t>Price Quoted on 19th Aug 21</t>
  </si>
  <si>
    <t>Price Quoted on 7 Jan 21, &lt; 100 KG</t>
  </si>
  <si>
    <t>09.16</t>
  </si>
  <si>
    <t xml:space="preserve">OLEORESIN CELERY </t>
  </si>
  <si>
    <t>Price quoted on 9 Feb 21, Expecting Quantity 100 - 1,000 kg, GMO item , Product Discontinued by April 2021</t>
  </si>
  <si>
    <t>09.26</t>
  </si>
  <si>
    <t>OLEORESIN CELERY, NS</t>
  </si>
  <si>
    <t xml:space="preserve">OLEORESIN CELERY, NS </t>
  </si>
  <si>
    <t>Price Quote, 
27th Jan 21</t>
  </si>
  <si>
    <t>Price Quote, 
18th Feb 21, 
1 MT/Year</t>
  </si>
  <si>
    <t xml:space="preserve">Price Quoted on 25th Jan 2022 </t>
  </si>
  <si>
    <t>MCCORMICK THAILAND</t>
  </si>
  <si>
    <t>Price Quote on 10th Sep 21, &lt; 100 KG</t>
  </si>
  <si>
    <t>12.051.03</t>
  </si>
  <si>
    <t>OLEORESIN TURMERIC, SOLUBLE, NS</t>
  </si>
  <si>
    <t>-</t>
  </si>
  <si>
    <t xml:space="preserve">SIMPLY AQUARESIN™ TUMERIC G-1 </t>
  </si>
  <si>
    <t xml:space="preserve">CUISINE SOLUTION </t>
  </si>
  <si>
    <t>Price Quoted on 4 May 2021, &lt; 100 KG</t>
  </si>
  <si>
    <t xml:space="preserve">12.075.101 </t>
  </si>
  <si>
    <t>TURMERIC EXTRACT IN CANOLA OIL</t>
  </si>
  <si>
    <t xml:space="preserve">Use this price till further notice  </t>
  </si>
  <si>
    <t>13.01</t>
  </si>
  <si>
    <t xml:space="preserve">OLEORESIN GINGER </t>
  </si>
  <si>
    <t>13.05</t>
  </si>
  <si>
    <t>SUPER SOLUBLE GREEN GINGER</t>
  </si>
  <si>
    <t>Price Quote on 14 Jan 21</t>
  </si>
  <si>
    <t>14.01</t>
  </si>
  <si>
    <t>OIL OF GINGER</t>
  </si>
  <si>
    <t>14.03</t>
  </si>
  <si>
    <t xml:space="preserve">OLEORESIN GREEN GINGER, NS </t>
  </si>
  <si>
    <t>15.01</t>
  </si>
  <si>
    <t>OLEORESIN MACE</t>
  </si>
  <si>
    <t>17.06</t>
  </si>
  <si>
    <t xml:space="preserve">OLEORESIN NUTMEG, NS </t>
  </si>
  <si>
    <t xml:space="preserve">AQUARESIN® ROSEMARY, NS </t>
  </si>
  <si>
    <t>ASIAN BEST CHICKEN</t>
  </si>
  <si>
    <t>22.007440</t>
  </si>
  <si>
    <t>AQUARESIN® PIZZA SEASONING, NS</t>
  </si>
  <si>
    <t xml:space="preserve">DEACTIVATED CODE </t>
  </si>
  <si>
    <t>DEACTIVATED CODE</t>
  </si>
  <si>
    <t>22.007558</t>
  </si>
  <si>
    <t>AQUARESIN ITALIAN SPICE, NS</t>
  </si>
  <si>
    <t>Price Quoted on 24th Sep 21, &lt;100 KG</t>
  </si>
  <si>
    <t>22.007764</t>
  </si>
  <si>
    <t>AQUARESIN® TIKKA SPICE, NS</t>
  </si>
  <si>
    <t>HABANERO PEPPER FLAVOR WONF</t>
  </si>
  <si>
    <t>22.02.014</t>
  </si>
  <si>
    <t xml:space="preserve">ANCHO PEPPER FLAVOR WONF </t>
  </si>
  <si>
    <t>Price Quoted on 29th Jun, 2021</t>
  </si>
  <si>
    <t>OLEORESIN CHILI SPICE, MILD, NS</t>
  </si>
  <si>
    <t>OLEORESIN CHILI SPICE, HOT, NS</t>
  </si>
  <si>
    <t>22.02.179</t>
  </si>
  <si>
    <t xml:space="preserve">AC - OLEORESIN CHILI SPICE, 
MEDIUM, NS </t>
  </si>
  <si>
    <t>IFF</t>
  </si>
  <si>
    <t>22.03.011</t>
  </si>
  <si>
    <t xml:space="preserve">HOT &amp; SPICY CONCENTRATE </t>
  </si>
  <si>
    <t>22.037474</t>
  </si>
  <si>
    <t>AQUARESIN® CHORIZO SPICE, NS</t>
  </si>
  <si>
    <t>Price Quoted on 22nd April 2022</t>
  </si>
  <si>
    <t>22.087324</t>
  </si>
  <si>
    <t>ZERO DEGREES® CHIPOTLE WONF, WS</t>
  </si>
  <si>
    <t>22.09.002</t>
  </si>
  <si>
    <t>ISOFRESH® MINT</t>
  </si>
  <si>
    <t>22.19.233</t>
  </si>
  <si>
    <t>AQUARESIN WASABI FLAVOR</t>
  </si>
  <si>
    <t xml:space="preserve">22.29.192 </t>
  </si>
  <si>
    <t xml:space="preserve">OLEORESIN GARAM MASALA, NS </t>
  </si>
  <si>
    <t>NONE</t>
  </si>
  <si>
    <t>Price Quoted on 30 Mar 21</t>
  </si>
  <si>
    <t>Price Quoted on 19th Apr 21</t>
  </si>
  <si>
    <t>Price Confirmation on 19th Jan 2022 from Contract Price 2022.</t>
  </si>
  <si>
    <t>Price quoted on 25th July 2022</t>
  </si>
  <si>
    <t>22.31.010</t>
  </si>
  <si>
    <t xml:space="preserve">SALSA VERDE SEASONING BLEND </t>
  </si>
  <si>
    <t xml:space="preserve">AQUARESIN® CAJUN SPICE, NS </t>
  </si>
  <si>
    <t>OLEORESIN CHILI SPICE, NS</t>
  </si>
  <si>
    <t>22.39.175</t>
  </si>
  <si>
    <t>AQUARESIN® MEXICAN SEASONING, NS</t>
  </si>
  <si>
    <t>Price Quoted on 30 Apr 2021, &lt;100 KG</t>
  </si>
  <si>
    <t>22.39.189</t>
  </si>
  <si>
    <t xml:space="preserve">AQUARESIN® PESTO SEASONING, NS </t>
  </si>
  <si>
    <t>Price Quoted on 21st March 2022</t>
  </si>
  <si>
    <t>AQUARESIN® TANDOORI SPICE, NS</t>
  </si>
  <si>
    <t>22.39.239</t>
  </si>
  <si>
    <t>AQUARESIN TACO SPICE, NS</t>
  </si>
  <si>
    <t>22.427191</t>
  </si>
  <si>
    <t>AQUARESIN® ITALIAN PIZZASAUCE SEASONING, NS</t>
  </si>
  <si>
    <t>22.457010</t>
  </si>
  <si>
    <t>AQUARESIN MINT</t>
  </si>
  <si>
    <t>22.47.004</t>
  </si>
  <si>
    <t>OLEORESIN PIZZA SPICE, NS</t>
  </si>
  <si>
    <t>THAI UNION MANUFACTURING</t>
  </si>
  <si>
    <t>22.48.044</t>
  </si>
  <si>
    <t>SPICED HABANERO</t>
  </si>
  <si>
    <t>Price Quote on 
18 Jan 21</t>
  </si>
  <si>
    <t>22.507048</t>
  </si>
  <si>
    <t>BASIL FLAVOR, THAI HOLY TYPE, NS</t>
  </si>
  <si>
    <t>22.507162</t>
  </si>
  <si>
    <t xml:space="preserve">WASABI FLAVOURING, OIL SOLUBLE, NS </t>
  </si>
  <si>
    <t>OISHI THAILAND</t>
  </si>
  <si>
    <t>Sales Too Low Globally</t>
  </si>
  <si>
    <t>22.527100</t>
  </si>
  <si>
    <t xml:space="preserve">AC - AQUARESIN® RAS EL HANOUTSPICE, NS </t>
  </si>
  <si>
    <t>Price Quoted on 5 May 2021,  &lt;100 KG</t>
  </si>
  <si>
    <t>22.58.227</t>
  </si>
  <si>
    <t>HORSERADISH FLAVOR WONF, NS</t>
  </si>
  <si>
    <t>WINCHANCE INDUSTRY</t>
  </si>
  <si>
    <t>Price Quoted on 25th Nov 2021, Price effective from 1st Jan 2022 onward</t>
  </si>
  <si>
    <t>22.607008</t>
  </si>
  <si>
    <t>KUNG PO SPICE BLEND</t>
  </si>
  <si>
    <r>
      <t xml:space="preserve">Price Quoted on 6 May 21, &lt; 100 KG
</t>
    </r>
    <r>
      <rPr>
        <b/>
        <sz val="8"/>
        <color theme="1"/>
        <rFont val="Calibri"/>
        <family val="2"/>
        <scheme val="minor"/>
      </rPr>
      <t xml:space="preserve">No other customers use this code. </t>
    </r>
  </si>
  <si>
    <t>22.607011</t>
  </si>
  <si>
    <t>THAI ROASTED CHILI SPICE BLEND</t>
  </si>
  <si>
    <t>Price quoted on 10 Feb 21, Expecting Quanity 1,500 - 2,000 kg/annum</t>
  </si>
  <si>
    <t>22.607021</t>
  </si>
  <si>
    <t>MALAYSIAN CURRY FLAVOR</t>
  </si>
  <si>
    <t xml:space="preserve">22.657005 </t>
  </si>
  <si>
    <t xml:space="preserve">AQUARESIN® THAI GREEN CURRRY, NS </t>
  </si>
  <si>
    <t>Price Quoted on 19 Mar 21 , &lt; 100 KG</t>
  </si>
  <si>
    <t>22.697001</t>
  </si>
  <si>
    <t xml:space="preserve">OTAK-OTAK FLAVOR BLEND </t>
  </si>
  <si>
    <t>Price Quoted on 12 Mar 21</t>
  </si>
  <si>
    <t>22.697012</t>
  </si>
  <si>
    <t>KIMCHI SPICE</t>
  </si>
  <si>
    <t>GOCHUJANG TYPE FLAVOR - NATURAL</t>
  </si>
  <si>
    <t xml:space="preserve">Yes </t>
  </si>
  <si>
    <t>Price Quoted on 27 Apr 21, &lt; 100 KG</t>
  </si>
  <si>
    <t>SUN DRIED TOMATO FLAVOR</t>
  </si>
  <si>
    <t>Price given on 23-Dec-20, EXPIRED on 13 Jan 21</t>
  </si>
  <si>
    <t xml:space="preserve">EXPIRED </t>
  </si>
  <si>
    <t xml:space="preserve">22.89.25 </t>
  </si>
  <si>
    <t xml:space="preserve">Price given on 13 Jan 21 </t>
  </si>
  <si>
    <t>22.89.63</t>
  </si>
  <si>
    <t xml:space="preserve">NATURAL FRIED SHALLOT FLAVOR </t>
  </si>
  <si>
    <t>Price quoted on 1st August 2022</t>
  </si>
  <si>
    <t>Price quoted, 
19 Jan 21
&gt;100 kgs &lt;1 MT</t>
  </si>
  <si>
    <t>22.987989</t>
  </si>
  <si>
    <t>AQUARESIN BARBECUE SPICE, NS</t>
  </si>
  <si>
    <t>AQUARESIN® HARISSA SPICE, NS</t>
  </si>
  <si>
    <t xml:space="preserve">Price Quoted on 9th April 21 </t>
  </si>
  <si>
    <t>22.997267</t>
  </si>
  <si>
    <t>AQUARESIN® SALSA SPICE, NS</t>
  </si>
  <si>
    <t>Price Quoted on 17th Nov 2021</t>
  </si>
  <si>
    <t>23.06</t>
  </si>
  <si>
    <t>OLEORESIN ALLSPICE, NS</t>
  </si>
  <si>
    <t>Expired as Kevin's email on 24th Jun 2021</t>
  </si>
  <si>
    <t>Use this price till further notice</t>
  </si>
  <si>
    <t>Price Quoted on 24th Jun, 2021</t>
  </si>
  <si>
    <t>27.02</t>
  </si>
  <si>
    <t>OLEORESIN CARAWAY</t>
  </si>
  <si>
    <t>Price Quoted on 5 Feb 2021, &lt;100 KG</t>
  </si>
  <si>
    <t>31-Dec-222</t>
  </si>
  <si>
    <t>28.01</t>
  </si>
  <si>
    <t xml:space="preserve">OLEORESIN CARDAMOM </t>
  </si>
  <si>
    <t>ALARM M3</t>
  </si>
  <si>
    <t>Price Quoted on 27th May 2022</t>
  </si>
  <si>
    <t>29.01.39</t>
  </si>
  <si>
    <t xml:space="preserve">AQUARESIN CINNAMON, NS </t>
  </si>
  <si>
    <t>Price Quoted on 13th May 2022</t>
  </si>
  <si>
    <t>30.01</t>
  </si>
  <si>
    <t>OLEORESIN CORIANDER</t>
  </si>
  <si>
    <t xml:space="preserve">OLEORESIN CORIANDER </t>
  </si>
  <si>
    <t xml:space="preserve">GOOD TO GO </t>
  </si>
  <si>
    <t>30.06</t>
  </si>
  <si>
    <t>OLEORESIN CORIANDER TYPES</t>
  </si>
  <si>
    <t>31.08</t>
  </si>
  <si>
    <t>GARLIC O/S, NS</t>
  </si>
  <si>
    <t>FRIED GARLIC CONCENTRATE</t>
  </si>
  <si>
    <t>31.097472</t>
  </si>
  <si>
    <t>SMOKED GARLIC FLAVOR, WONF</t>
  </si>
  <si>
    <t>Price Quoted on 18 Jan 21, &lt;100 KG</t>
  </si>
  <si>
    <t>31.097551</t>
  </si>
  <si>
    <t>FIRE ROASTED GARLIC FLAVOR, WONF, W/S</t>
  </si>
  <si>
    <t xml:space="preserve">Price Quoted, 
19 Jan 21
&lt;100 kgs </t>
  </si>
  <si>
    <t>31.10.19</t>
  </si>
  <si>
    <t>AQUARESIN® GARLIC</t>
  </si>
  <si>
    <t>AQUARESIN® GARLIC, NS</t>
  </si>
  <si>
    <t>31.10.49</t>
  </si>
  <si>
    <t>AQUARESIN® GARLIC, NS, WITH SUNFLOWER OIL</t>
  </si>
  <si>
    <t xml:space="preserve">AQ GARLIC, NS, WITH SUNFLOWER OIL </t>
  </si>
  <si>
    <t>Price Quote, 
19 Jan 21</t>
  </si>
  <si>
    <t>31.21</t>
  </si>
  <si>
    <t>GARLIC WATER SOLUBLE, NS</t>
  </si>
  <si>
    <t>31.22</t>
  </si>
  <si>
    <t>GARLIC, OIL SOLUBLE, 80X, NS</t>
  </si>
  <si>
    <t xml:space="preserve">Price Quote, 
28th Jan 21 </t>
  </si>
  <si>
    <t xml:space="preserve">CONNELL with 
Blanket PO &gt; 5 MTs ONLY </t>
  </si>
  <si>
    <t xml:space="preserve">Price Quoted Feb 2, 2021, Promotional Price </t>
  </si>
  <si>
    <t xml:space="preserve">GARLIC, OIL SOLUBLE, 80X, NS </t>
  </si>
  <si>
    <t>31.30</t>
  </si>
  <si>
    <t xml:space="preserve">GARLIC CONCENTRATE WONF </t>
  </si>
  <si>
    <t>Price Quote on 26th Mar 21</t>
  </si>
  <si>
    <t>Price Quote on 29th Nov, 21</t>
  </si>
  <si>
    <t xml:space="preserve">31.30 </t>
  </si>
  <si>
    <t>Price Quote on 9th Mar 21</t>
  </si>
  <si>
    <t>31.56</t>
  </si>
  <si>
    <t>NATURAL ROASTED GARLIC FLAVOR WONF</t>
  </si>
  <si>
    <t>Price Quoted on 5th April 2022</t>
  </si>
  <si>
    <t>33.02</t>
  </si>
  <si>
    <t>OLEORESIN OREGANO</t>
  </si>
  <si>
    <t>Price Quoted on 5th July 2021, &lt; 100 KG</t>
  </si>
  <si>
    <t>34.02</t>
  </si>
  <si>
    <t>OLEORESIN CUMIN</t>
  </si>
  <si>
    <t>35.01</t>
  </si>
  <si>
    <t>OLEORESIN THYME, NS</t>
  </si>
  <si>
    <t xml:space="preserve">OLEORESIN THYME, NS </t>
  </si>
  <si>
    <t>35.02</t>
  </si>
  <si>
    <t>OIL OF THYME</t>
  </si>
  <si>
    <t>AQUARESIN® THYME, NS</t>
  </si>
  <si>
    <t>ACID PROOF ANNATTO, TYPE NG</t>
  </si>
  <si>
    <t xml:space="preserve">*Note for PO 
 Red Cap on 15 pail is not allowed (Food Additive &amp; No FDA License) </t>
  </si>
  <si>
    <t>40.03.01</t>
  </si>
  <si>
    <t>VEGETONE® ANTHO RED 3-1</t>
  </si>
  <si>
    <t>41.098332</t>
  </si>
  <si>
    <t>OLEORESIN ROSEMARY, HERBALOX® BRAND, TYPE XT-W</t>
  </si>
  <si>
    <t>KELLOGG'S THAILAND</t>
  </si>
  <si>
    <t xml:space="preserve">Effective 01 Jan 22 - 31 Dec 22, Price Quoted on 11th Oct 2021. For Quantity 1,020 kg in 2022. </t>
  </si>
  <si>
    <t xml:space="preserve">41.19.10 </t>
  </si>
  <si>
    <t>OLEORESIN ROSEMARY, HERBALOX® BRAND, TYPE HT-O, NS</t>
  </si>
  <si>
    <t>GMO Product, Discontinued, Suggested to use 41.19.25</t>
  </si>
  <si>
    <t>OLEORESIN ROSEMARY, HERBALOX® BRAND, TYPE O, NS</t>
  </si>
  <si>
    <t>OLEORESIN ROSEMARY, HERBALOX® BRAND, TYPE W, NS</t>
  </si>
  <si>
    <t>41.19.25</t>
  </si>
  <si>
    <t xml:space="preserve">OLREORESIN ROSEMARY HERBALOX® BRAND, TYPE HT-O, NS </t>
  </si>
  <si>
    <t>Price Quoted on 28 Mar 21, For Opportunity to increase the volume consumption to 2,500 kgs in 2021</t>
  </si>
  <si>
    <t xml:space="preserve">Price Quoted on 24th Nov 2021, Price effective from 1st Jan 2022 onward </t>
  </si>
  <si>
    <t>41.19.39</t>
  </si>
  <si>
    <t>OLEORESIN ROSEMARY, HERBALOX® BRAND, TYPE HT-W, NS</t>
  </si>
  <si>
    <t>41.19.49</t>
  </si>
  <si>
    <t xml:space="preserve">OLEORESIN ROSEMARY, HERBALOX® BRAND, TYPE QS, NS </t>
  </si>
  <si>
    <t>OLEORESIN ROSEMARY, HERBALOX® BRAND XT-0</t>
  </si>
  <si>
    <t>Price quoted on 11th May 2022</t>
  </si>
  <si>
    <t>42.02</t>
  </si>
  <si>
    <t xml:space="preserve">OLEORESIN ANISE </t>
  </si>
  <si>
    <t>Price Quoted on 21st Apr 21</t>
  </si>
  <si>
    <t>43.02</t>
  </si>
  <si>
    <t xml:space="preserve">OLEORESIN WHITE PEPPER </t>
  </si>
  <si>
    <t>43.02.67</t>
  </si>
  <si>
    <t xml:space="preserve">OLEORESIN WHITE PEPPER FLAVOR </t>
  </si>
  <si>
    <t xml:space="preserve">45.01 </t>
  </si>
  <si>
    <t xml:space="preserve">OIL OF PEPPERMINT , NATURAL </t>
  </si>
  <si>
    <t xml:space="preserve">Price was given to URC, non-global </t>
  </si>
  <si>
    <t xml:space="preserve">47.01 </t>
  </si>
  <si>
    <t>47.03</t>
  </si>
  <si>
    <t xml:space="preserve">OIL OF BASIL </t>
  </si>
  <si>
    <t xml:space="preserve">Price was given to FCI, non -global </t>
  </si>
  <si>
    <t xml:space="preserve">Price was given on 24th Jan 2022 </t>
  </si>
  <si>
    <t xml:space="preserve">SZECHUAN PEPPER OLEORESIN </t>
  </si>
  <si>
    <t>48.004</t>
  </si>
  <si>
    <t xml:space="preserve">SZECHUAN PEPPER OLEORESIN , DEODERIZED </t>
  </si>
  <si>
    <t>Price Quoted on 1st June 2022</t>
  </si>
  <si>
    <t>LEMONGRASS, OIL SOLUBLE, NS</t>
  </si>
  <si>
    <t>48.067171</t>
  </si>
  <si>
    <t>SOLUBLE KAFFIR LIME LEAF, NS</t>
  </si>
  <si>
    <t>OLEORESIN CILANTRO, TYPE C</t>
  </si>
  <si>
    <t xml:space="preserve">OLEORESIN CILANTRO, TYPE C </t>
  </si>
  <si>
    <t>48.48</t>
  </si>
  <si>
    <t>OIL OF LEMON, SINGLE STRENGTH</t>
  </si>
  <si>
    <t>AQUARESIN® OIL OF LEMON</t>
  </si>
  <si>
    <t>Price given on 23-Dec-20, &lt;100 KG</t>
  </si>
  <si>
    <t>48.49.39</t>
  </si>
  <si>
    <t>AQUARESIN® LEMONGRASS, TYPE C</t>
  </si>
  <si>
    <t>48.507095</t>
  </si>
  <si>
    <t xml:space="preserve">KAFFIR LIME LEAF, OIL SOLUBLE, NS </t>
  </si>
  <si>
    <t>Price Quoted on 7th July 2022</t>
  </si>
  <si>
    <t>49.03</t>
  </si>
  <si>
    <t>OLEORESIN CARROT</t>
  </si>
  <si>
    <t xml:space="preserve">49.03 </t>
  </si>
  <si>
    <t>Price Quoted,
19 Jan 21</t>
  </si>
  <si>
    <t>49.59.02</t>
  </si>
  <si>
    <t xml:space="preserve">VEGETONE® RADIANT YELLOW </t>
  </si>
  <si>
    <t>51.097506</t>
  </si>
  <si>
    <t>TOASTED ONION FLAVOR WONF</t>
  </si>
  <si>
    <t xml:space="preserve">51.097520 </t>
  </si>
  <si>
    <t>SAUTEED SWEET ONION FLAVOR, WONF</t>
  </si>
  <si>
    <t xml:space="preserve">Price Quote on 9th Mar 21 </t>
  </si>
  <si>
    <t>51.10.39</t>
  </si>
  <si>
    <t>AQUARESIN® ONION</t>
  </si>
  <si>
    <t>AQUARESIN® ONION, NS</t>
  </si>
  <si>
    <t xml:space="preserve">Price Quote on 
18 Jan </t>
  </si>
  <si>
    <t xml:space="preserve">Price Quote </t>
  </si>
  <si>
    <t xml:space="preserve">51.18.39 </t>
  </si>
  <si>
    <t xml:space="preserve">Checked on 18 Jan </t>
  </si>
  <si>
    <t>51.25</t>
  </si>
  <si>
    <t>ONION CONCENTRATE, NS</t>
  </si>
  <si>
    <t>51.43</t>
  </si>
  <si>
    <t>51.44</t>
  </si>
  <si>
    <t xml:space="preserve">ONION, OIL SOLUBLE, NS </t>
  </si>
  <si>
    <t>Price Quoted on 8th Sep 21, &lt; 100 KG</t>
  </si>
  <si>
    <t>52.100.04</t>
  </si>
  <si>
    <t>COPPER CHLOROPHYLLIN W/S-100</t>
  </si>
  <si>
    <t>*Note for PO 
 Red Cap for pail is not allowed (Food Additive &amp; No FDA License)</t>
  </si>
  <si>
    <t xml:space="preserve">*Note for PO 
 Red Cap for pail is not allowed (Food Additive &amp; No FDA License), price quoted on 17th Nov 2021, effective 1st Jan 22 onward
- Price quoted on 25th March 2022 </t>
  </si>
  <si>
    <t xml:space="preserve">Price Quoted on 1st June 2021 </t>
  </si>
  <si>
    <t>55.005.00.39</t>
  </si>
  <si>
    <t>AQUARESIN® JALAPENO PEPPER EXTRACT, MILD, NS</t>
  </si>
  <si>
    <t>Renewal Price Contract 2021</t>
  </si>
  <si>
    <t>Price quoted on 15th Jun 2021</t>
  </si>
  <si>
    <t>55.005.03.39</t>
  </si>
  <si>
    <t>AQUARESIN® CHIPOTLE PEPPER EXTRACT, NS</t>
  </si>
  <si>
    <t>OLEORESIN SERRANO PEPPER, EXPELLER PRESSED</t>
  </si>
  <si>
    <t>Price Quoted on 14th March 2022</t>
  </si>
  <si>
    <t>55.009.02.603</t>
  </si>
  <si>
    <t>OLEORESIN CAYENNE PEPPER, EXPELLER PRESSED</t>
  </si>
  <si>
    <t xml:space="preserve">55.013.01.603 </t>
  </si>
  <si>
    <t xml:space="preserve">OLEORESIN HABANERO PEPPER, EXPELLER PRESSED </t>
  </si>
  <si>
    <t>Price Quoted on 1st Sep 21</t>
  </si>
  <si>
    <t>Price Quoted on 2nd Dec 21</t>
  </si>
  <si>
    <t>55.020.00.01</t>
  </si>
  <si>
    <t>OLEORESIN JALAPENO PEPPEREXTRACT, HOT, NS</t>
  </si>
  <si>
    <t xml:space="preserve">Use until 
Further Notice </t>
  </si>
  <si>
    <t>55.020.00.603</t>
  </si>
  <si>
    <t>OLEORESIN GHOST PEPPER, EXPELLER PRESSED</t>
  </si>
  <si>
    <t>Price Quoted on 30th Jun, 2021</t>
  </si>
  <si>
    <t>55.097493</t>
  </si>
  <si>
    <t>CHIPOTLE [SMOKED PEPPER]FLAVOR</t>
  </si>
  <si>
    <t>CHIPOTLE [SMOKED PEPPER]
FLAVOR</t>
  </si>
  <si>
    <t>Price Quoted, 
27th Jan 21
No code for McCormick, Use same price as Connell</t>
  </si>
  <si>
    <t>55.150.01.603</t>
  </si>
  <si>
    <t>OLEORESIN GHOST PEPPER</t>
  </si>
  <si>
    <t xml:space="preserve">Price Quoted on 23rd May 2021 </t>
  </si>
  <si>
    <t>Price Quoted on 29th June, 2021</t>
  </si>
  <si>
    <t xml:space="preserve">57.046.705 </t>
  </si>
  <si>
    <t xml:space="preserve">NATUREBRITE® RED BEET WSP </t>
  </si>
  <si>
    <t>Price Quote on 15th Sep 21, &lt;100 KG</t>
  </si>
  <si>
    <t>57.08</t>
  </si>
  <si>
    <t xml:space="preserve">RED BEET POWDER </t>
  </si>
  <si>
    <t>Price Quoted on 26th Aug 21</t>
  </si>
  <si>
    <t>57.18</t>
  </si>
  <si>
    <t>DURABRITE® RED BEET POWDER</t>
  </si>
  <si>
    <t>63.02.77</t>
  </si>
  <si>
    <t>SRIRACHA SPICE FLAVOR</t>
  </si>
  <si>
    <t>63.19.29</t>
  </si>
  <si>
    <t>DURALOX® AQUARESIN® BOLOGNA SEASONING, NS</t>
  </si>
  <si>
    <t>63.457202</t>
  </si>
  <si>
    <t xml:space="preserve">OLEORESIN ROAST BBQ SEASONING W/D, NS </t>
  </si>
  <si>
    <t xml:space="preserve">Price Quoted on 18th Jun, 2021 </t>
  </si>
  <si>
    <t>63.48.03</t>
  </si>
  <si>
    <t>DURALOX® AQUARESIN® TOM YAM SPICE BLEND</t>
  </si>
  <si>
    <t>Price Quote, 31st Jan 21, &lt;100 KGS</t>
  </si>
  <si>
    <t>63.497001</t>
  </si>
  <si>
    <t>AQUARESIN® JAPANESE STYLE CURRY, NS</t>
  </si>
  <si>
    <t>70.01</t>
  </si>
  <si>
    <t>FRIED SHALLOT FLAVOR, WONF</t>
  </si>
  <si>
    <t>No pail part code filed in M3.</t>
  </si>
  <si>
    <t>70.04</t>
  </si>
  <si>
    <t>FRIED FLAVOR - SHALLOT TYPE</t>
  </si>
  <si>
    <t>ONION, OIL SOLUBLE, NS                                      </t>
  </si>
  <si>
    <t xml:space="preserve">GREEN ONION, OIL SOLUBLE, NS                                </t>
  </si>
  <si>
    <t xml:space="preserve">                       35.25 </t>
  </si>
  <si>
    <t xml:space="preserve">                40.25 </t>
  </si>
  <si>
    <t xml:space="preserve">COPPER CHLOROPHYLLIN W/S-100                                </t>
  </si>
  <si>
    <t xml:space="preserve">                       81.05 </t>
  </si>
  <si>
    <t xml:space="preserve">                86.05 </t>
  </si>
  <si>
    <t xml:space="preserve">AQUARESIN® CHIPOTLE, NS                                     </t>
  </si>
  <si>
    <t xml:space="preserve">                     111.90 </t>
  </si>
  <si>
    <t xml:space="preserve">             116.90 </t>
  </si>
  <si>
    <t xml:space="preserve">AQUARESIN® JALAPENO PEPPER EXTRACT, MILD, NS                </t>
  </si>
  <si>
    <t xml:space="preserve">                       64.63 </t>
  </si>
  <si>
    <t xml:space="preserve">                69.63 </t>
  </si>
  <si>
    <t xml:space="preserve">AQUARESIN® CHIPOTLE PEPPER EXTRACT, NS                      </t>
  </si>
  <si>
    <t xml:space="preserve">                     103.00 </t>
  </si>
  <si>
    <t xml:space="preserve">             108.00 </t>
  </si>
  <si>
    <t>55.013.01.603</t>
  </si>
  <si>
    <t>OLEORESIN HABANERO PEPPER, EXPELLER PRESSED</t>
  </si>
  <si>
    <t xml:space="preserve">OLEORESIN JALAPENO PEPPEREXTRACT, HOT, NS                   </t>
  </si>
  <si>
    <t xml:space="preserve">                       68.90 </t>
  </si>
  <si>
    <t xml:space="preserve">                73.90 </t>
  </si>
  <si>
    <t>55.020.00.39</t>
  </si>
  <si>
    <t xml:space="preserve">AQUARESIN® JALAPENO PEPPER EXTRACT, HOT, NS                 </t>
  </si>
  <si>
    <t xml:space="preserve">                       48.20 </t>
  </si>
  <si>
    <t xml:space="preserve">                53.20 </t>
  </si>
  <si>
    <t xml:space="preserve">OLEORESIN GHOST PEPPER                                      </t>
  </si>
  <si>
    <t xml:space="preserve">                     131.95 </t>
  </si>
  <si>
    <t xml:space="preserve">             136.95 </t>
  </si>
  <si>
    <t xml:space="preserve">OLEORESIN MUSTARD, NS                                       </t>
  </si>
  <si>
    <t xml:space="preserve">                       34.00 </t>
  </si>
  <si>
    <t xml:space="preserve">                39.00 </t>
  </si>
  <si>
    <t xml:space="preserve">SRIRACHA SPICE FLAVOR                                       </t>
  </si>
  <si>
    <t xml:space="preserve">                       62.42 </t>
  </si>
  <si>
    <t xml:space="preserve">                67.42 </t>
  </si>
  <si>
    <t xml:space="preserve">DURALOX® AQUARESIN® BOLOGNA SEASONING, NS                   </t>
  </si>
  <si>
    <t xml:space="preserve">                       36.50 </t>
  </si>
  <si>
    <t xml:space="preserve">                41.50 </t>
  </si>
  <si>
    <t xml:space="preserve">AQUARESIN® JAPANESE STYLE CURRY, NS                         </t>
  </si>
  <si>
    <t xml:space="preserve">FRIED FLAVOR - SHALLOT TYPE                                 </t>
  </si>
  <si>
    <t xml:space="preserve">                       22.35 </t>
  </si>
  <si>
    <t xml:space="preserve">                27.35 </t>
  </si>
  <si>
    <t xml:space="preserve">AQUARESIN® ONION                                            </t>
  </si>
  <si>
    <t>Natural Fried Shallot Type Flavor                           </t>
  </si>
  <si>
    <t xml:space="preserve"> 35.05 </t>
  </si>
  <si>
    <t>ISA Value/all customer</t>
  </si>
  <si>
    <t>Price quoted 19 Dec 2023</t>
  </si>
  <si>
    <t>OLEORESIN CAPSICUM, DECOLORIZED, NS</t>
  </si>
  <si>
    <t xml:space="preserve">Connell Contract price </t>
  </si>
  <si>
    <t>AQUARESIN® CLOVE, NS</t>
  </si>
  <si>
    <t>OLEORESIN GINGER</t>
  </si>
  <si>
    <t>29.01</t>
  </si>
  <si>
    <t>OLEORESIN CINNAMON</t>
  </si>
  <si>
    <t>Newlyweds/all customer</t>
  </si>
  <si>
    <t>SZECHUAN PEPPER OLEORESIN</t>
  </si>
  <si>
    <t>14.03 - AC OLEORESIN GREEN GINGER</t>
  </si>
  <si>
    <t> 112.32</t>
  </si>
  <si>
    <t>Ex-work from 1 Jan - 31 Dec 2023</t>
  </si>
  <si>
    <t>Price quoted 1 Dec 2022</t>
  </si>
  <si>
    <t>OLEORESIN ROSEMARY, NS</t>
  </si>
  <si>
    <t xml:space="preserve">Kerry Thailand </t>
  </si>
  <si>
    <t>19.01 - AC - OLEORESIN ROSEMARY, NS</t>
  </si>
  <si>
    <t>Newlyweds</t>
  </si>
  <si>
    <t>50.50 </t>
  </si>
  <si>
    <t>45.50 </t>
  </si>
  <si>
    <t>32.01 - AC - OLEORESIN MARJORAM, NS</t>
  </si>
  <si>
    <t>33.01 - AC - OLEORESIN OREGANO</t>
  </si>
  <si>
    <t xml:space="preserve">43.02 - AC - OLEORESIN WHITE PEPPER </t>
  </si>
  <si>
    <t> 223.50</t>
  </si>
  <si>
    <t> 218.50</t>
  </si>
  <si>
    <t>KAFFIR LIME LEAF, OIL SOLUBLE, NS</t>
  </si>
  <si>
    <t>NEWLY WEDS /all customer</t>
  </si>
  <si>
    <t>price quoted 24Nov 2022</t>
  </si>
  <si>
    <t>Oishi/all customer</t>
  </si>
  <si>
    <t>price quoted 9 Jan 2023</t>
  </si>
  <si>
    <t>Apply to general customers</t>
  </si>
  <si>
    <t>Griffith Thailand /all customer</t>
  </si>
  <si>
    <t>NATURAL ROASTED ONION TYPE FLAVOR</t>
  </si>
  <si>
    <t>Griffith Thailand</t>
  </si>
  <si>
    <t>51.987923 - AC - GREEN ONION, OIL</t>
  </si>
  <si>
    <t>OLEORESIN FENNEL</t>
  </si>
  <si>
    <t>OLEORESIN MUSTARD, NS</t>
  </si>
  <si>
    <t>OLEORESIN MUSTARD DILUTE</t>
  </si>
  <si>
    <t>Tyson -McKey / all customer</t>
  </si>
  <si>
    <t>Apply for general customer</t>
  </si>
  <si>
    <t>Shallot</t>
  </si>
  <si>
    <t xml:space="preserve">Connell Contract price 2023 </t>
  </si>
  <si>
    <t>OLEORSIN TABASCO PEPPER EXTRACT</t>
  </si>
  <si>
    <t>Griffith / all customer</t>
  </si>
  <si>
    <t>quoted on 27 Jan 23</t>
  </si>
  <si>
    <t>CLEARCAP® SUPER SOLUBLE CAPSICUM</t>
  </si>
  <si>
    <t xml:space="preserve">Connell &amp; all customers </t>
  </si>
  <si>
    <t>Price quoted on 17 May 23 for all customers</t>
  </si>
  <si>
    <t>Clearcap ghost peepr</t>
  </si>
  <si>
    <t>Quoted on 22 Dec 22</t>
  </si>
  <si>
    <t>Kerry bidding price</t>
  </si>
  <si>
    <t>01.050.02.03</t>
  </si>
  <si>
    <t>OLEORESIN CAPSICUM, NS</t>
  </si>
  <si>
    <t>AQUARESIN® PAPRIKA, NS</t>
  </si>
  <si>
    <t>McCormick</t>
  </si>
  <si>
    <t>02.040.71</t>
  </si>
  <si>
    <t>NATUREBRITE PAPRIKA OIL</t>
  </si>
  <si>
    <t>Sunfood/All customers</t>
  </si>
  <si>
    <t>price quoted on 27 Jan 23</t>
  </si>
  <si>
    <t>03.20.39</t>
  </si>
  <si>
    <t>Aquaresin Black Pepper</t>
  </si>
  <si>
    <t>CPF /all customers</t>
  </si>
  <si>
    <t>AQUARESIN® BLACK PEPPER,NS</t>
  </si>
  <si>
    <t>03.27</t>
  </si>
  <si>
    <t xml:space="preserve">Oleoresin Black Pepper WONF </t>
  </si>
  <si>
    <t>McCormick/all customer</t>
  </si>
  <si>
    <t>Unilever/all customer</t>
  </si>
  <si>
    <t xml:space="preserve">Newlyweds </t>
  </si>
  <si>
    <t>OIL OF CLOVE BUD</t>
  </si>
  <si>
    <t>OLEORESIN SAGE, NS</t>
  </si>
  <si>
    <t xml:space="preserve">McCormick </t>
  </si>
  <si>
    <t>OLEORESIN CELERY, SWEET</t>
  </si>
  <si>
    <t>quoted by 20 Jan 23 by line valid end Dec 23</t>
  </si>
  <si>
    <t xml:space="preserve">Support NWF special price </t>
  </si>
  <si>
    <t>SIMPLY AQUARESIN™ TURMERIC G-1</t>
  </si>
  <si>
    <t>Quoted on 1 Dec 22</t>
  </si>
  <si>
    <t>OLEORESIN GREEN GINGER, NS</t>
  </si>
  <si>
    <t>19.01</t>
  </si>
  <si>
    <t>AQUARESIN ROSEMARY, NS</t>
  </si>
  <si>
    <t>WFF /all customer</t>
  </si>
  <si>
    <t>price quoted on 9 Jan 23</t>
  </si>
  <si>
    <t>AQUARESIN® ITALIAN SPICE, NS</t>
  </si>
  <si>
    <t>OLEORESIN CHILI SPICE, NO HEAT, NS</t>
  </si>
  <si>
    <t>FCI/all customer</t>
  </si>
  <si>
    <t>Price quoted on 10/5/23, &lt; 100 kg</t>
  </si>
  <si>
    <t>FCI</t>
  </si>
  <si>
    <t>OLEORESIN CHILI SPICE, MEDIUM, NS</t>
  </si>
  <si>
    <t xml:space="preserve">IFF </t>
  </si>
  <si>
    <t>AQUARESIN CHORIZO SPICE, NS</t>
  </si>
  <si>
    <t>WFF/all customer</t>
  </si>
  <si>
    <t>22.087305</t>
  </si>
  <si>
    <t>ZERO DEGREES® HABANERO WONF, OS</t>
  </si>
  <si>
    <t>22.19.137 - AC -AQUARESIN CHILI SPICE</t>
  </si>
  <si>
    <t>48.61 </t>
  </si>
  <si>
    <t>Price quoted 1 Dec 2022 quoted by email on 29/12/23</t>
  </si>
  <si>
    <t>AQUARESIN® CHILI SPICE, NS</t>
  </si>
  <si>
    <t>Achieved</t>
  </si>
  <si>
    <t>quote price on 17 Jan 23</t>
  </si>
  <si>
    <t>22.507209</t>
  </si>
  <si>
    <t>OLEORESIN BBQ GRILL SPICE WITH SMOKE W/D</t>
  </si>
  <si>
    <t>price quoted on 18 Jan 23</t>
  </si>
  <si>
    <t>GREEN BELL PEPPER FLAVOR WONF</t>
  </si>
  <si>
    <t>Quoted on 4 Jan 23</t>
  </si>
  <si>
    <t>22.607004</t>
  </si>
  <si>
    <t>Tom Yam Spice Blend</t>
  </si>
  <si>
    <t>oishi/all customer</t>
  </si>
  <si>
    <t xml:space="preserve">inactive </t>
  </si>
  <si>
    <t>22.89.47</t>
  </si>
  <si>
    <t>OVEN ROASTED TOMATO FLAVOR WONF</t>
  </si>
  <si>
    <t>24.58.03</t>
  </si>
  <si>
    <t>E2[TM] HORSERADISH</t>
  </si>
  <si>
    <t>Garlic O/S, NS</t>
  </si>
  <si>
    <t>Oishi</t>
  </si>
  <si>
    <t>31-June-23</t>
  </si>
  <si>
    <t>price quoted 30 oct 2022</t>
  </si>
  <si>
    <t>price quoted</t>
  </si>
  <si>
    <t xml:space="preserve">FRIED GARLIC CONC </t>
  </si>
  <si>
    <t> 39.43</t>
  </si>
  <si>
    <t>34.43 </t>
  </si>
  <si>
    <t>NATURAL SMOKED GARLIC TYPE FLAVOR</t>
  </si>
  <si>
    <t>NATURAL FIRE ROASTED GARLIC TYPE FLAVOR</t>
  </si>
  <si>
    <t>Garlic, Oil Soluble 80X, NS</t>
  </si>
  <si>
    <t>31.84</t>
  </si>
  <si>
    <t>ROASTED GARLIC FLAVOR</t>
  </si>
  <si>
    <t>price quoted on 31 Jan 23</t>
  </si>
  <si>
    <t>32.01</t>
  </si>
  <si>
    <t>OLEORESIN MARJORAM, NS</t>
  </si>
  <si>
    <t>33.01</t>
  </si>
  <si>
    <t>OLEORESIN OREGANO, NS</t>
  </si>
  <si>
    <t>ACID PROOF ANNATTO, TYPENG</t>
  </si>
  <si>
    <t>OLEORESIN ROSEMARY, HERBALOX® BRAND, TYPE  XT-W</t>
  </si>
  <si>
    <t>Price Quoted on 19 May 23, &lt;100 KG</t>
  </si>
  <si>
    <t>OLEORESIN WHITE PEPPER</t>
  </si>
  <si>
    <t>Price Quoted on 10 Jan 23</t>
  </si>
  <si>
    <t>Unilever</t>
  </si>
  <si>
    <t xml:space="preserve">48.10.03 </t>
  </si>
  <si>
    <t>48.10.03 - AC - OLEORESIN CILANTRO, TYPE C</t>
  </si>
  <si>
    <t> 29.21</t>
  </si>
  <si>
    <t> 24.21</t>
  </si>
  <si>
    <t>AQUARESIN® CILANTRO</t>
  </si>
  <si>
    <t>AQUARESIN® OIL OF LIME</t>
  </si>
  <si>
    <t>VEGETONE® RADIANT YELLOW</t>
  </si>
  <si>
    <t>Onion oil soluble, NS</t>
  </si>
  <si>
    <t>Bowman/all customer</t>
  </si>
  <si>
    <t>Quoted on 29 Dec 22</t>
  </si>
  <si>
    <t>51.987923</t>
  </si>
  <si>
    <t>GREEN ONION, OIL SOLUBLE, NS</t>
  </si>
  <si>
    <t>55.001.00.39</t>
  </si>
  <si>
    <t>AQUARESIN JALAPENO, EXTRA MILD, NS</t>
  </si>
  <si>
    <t>55.003.03.603</t>
  </si>
  <si>
    <t>OLEORESIN CHIPOTLE PEPPER EXPELLER PRESSED</t>
  </si>
  <si>
    <t>R&amp;B/all customer</t>
  </si>
  <si>
    <t>price quoted 30Nov 2022</t>
  </si>
  <si>
    <t>Habanero expeller</t>
  </si>
  <si>
    <t xml:space="preserve">55.020.00.39 - AC - AQUARESIN JALAPENO PEPPER EXTRACT        </t>
  </si>
  <si>
    <t> 51.74</t>
  </si>
  <si>
    <t> 56.74</t>
  </si>
  <si>
    <t>AQUARESIN® JALAPENO PEPPER EXTRACT, HOT, NS</t>
  </si>
  <si>
    <t>Oleoresin Ghost pepper</t>
  </si>
  <si>
    <t xml:space="preserve">Griffith </t>
  </si>
  <si>
    <t>Price quote on 18 May 23</t>
  </si>
  <si>
    <t xml:space="preserve">Available - 15 &amp; 30 KG fiber drum, MoQ = 15 KG drum  </t>
  </si>
  <si>
    <t>Oishi /all customer</t>
  </si>
  <si>
    <t>price quoted on 10 Jan 23</t>
  </si>
  <si>
    <t>The product 57.18 is not EU compliant from a pesticide residue point of view</t>
  </si>
  <si>
    <t>58.007449</t>
  </si>
  <si>
    <t xml:space="preserve">DURALOX® OXIDATION MANAGEMENT BLEND AN-20 WD, NS            </t>
  </si>
  <si>
    <t>DURALOX BLEND NV-3, NS</t>
  </si>
  <si>
    <t>Note- this comes in Powder form, and minimum pack size is 15kg drum</t>
  </si>
  <si>
    <t>38 / packing 30 kg</t>
  </si>
  <si>
    <t>Price quoted 5 Jan 2023</t>
  </si>
  <si>
    <t>Duralox Aquaresin Tom Yam spice blend</t>
  </si>
  <si>
    <t>44.91.033</t>
  </si>
  <si>
    <t>CARMINE LIQUID</t>
  </si>
  <si>
    <t>QUOTED 15 MAR 23</t>
  </si>
  <si>
    <t>NWF</t>
  </si>
  <si>
    <t>44.91.067</t>
  </si>
  <si>
    <t>CARMINE PAPRIKA BLEND</t>
  </si>
  <si>
    <t>02.040.33</t>
  </si>
  <si>
    <t>DURABRITE OLEORESIN PAPRIKA W/D</t>
  </si>
  <si>
    <t xml:space="preserve">22.057884 </t>
  </si>
  <si>
    <t xml:space="preserve">AQUARESIN CHILI SPICE WITH LEMON/ LIME, </t>
  </si>
  <si>
    <t>KCG</t>
  </si>
  <si>
    <t>55/009.02.603</t>
  </si>
  <si>
    <t>OLORESIN CAYENe PEPPER EXPELLER PRESSED</t>
  </si>
  <si>
    <t>QUOTED on 28 Feb 23</t>
  </si>
  <si>
    <t>Kerry</t>
  </si>
  <si>
    <t>Special price for NWF</t>
  </si>
  <si>
    <t>quoted on 30 Mar 23</t>
  </si>
  <si>
    <t>Nissin Foods</t>
  </si>
  <si>
    <t>quoted on 4 Apr 23</t>
  </si>
  <si>
    <t xml:space="preserve">AQUARESIN® GALANGAL, NS                                     </t>
  </si>
  <si>
    <t>quoted on 20 Apr 23</t>
  </si>
  <si>
    <t>requested by ISA value</t>
  </si>
  <si>
    <t>requested by wci</t>
  </si>
  <si>
    <t>requested by FCI</t>
  </si>
  <si>
    <t>TUM /all customers</t>
  </si>
  <si>
    <t>1,500kg to supply within September 2023</t>
  </si>
  <si>
    <t>price quoted on 16 Feb 23</t>
  </si>
  <si>
    <t>49.29</t>
  </si>
  <si>
    <t>DURABRITE OLEORESIN CARROT</t>
  </si>
  <si>
    <t xml:space="preserve">KCG/CONNELL </t>
  </si>
  <si>
    <t>PRICE QUOTED ON 30 MAY 2023</t>
  </si>
  <si>
    <t>AQUARESIN CARROT</t>
  </si>
  <si>
    <t>KCG/all customers</t>
  </si>
  <si>
    <t>49.34</t>
  </si>
  <si>
    <t>70.097447</t>
  </si>
  <si>
    <t>NWF/CONNELL</t>
  </si>
  <si>
    <t>PRICE QUOTED ON 31 MAY 2023</t>
  </si>
  <si>
    <t>OLEORESIN CAPSICUM AFRICAN</t>
  </si>
  <si>
    <t xml:space="preserve">FCI/all customer </t>
  </si>
  <si>
    <t xml:space="preserve"> FCT VOLUME 400 Kg</t>
  </si>
  <si>
    <t>Price quoted on 28 Mar 23</t>
  </si>
  <si>
    <t>To support for NWF business, we will quote you a new price- USD 29.90/KG for 15kg pail (USD 34.90/KG for 3.4kg Bottle) for this opportunity</t>
  </si>
  <si>
    <t>22.997159</t>
  </si>
  <si>
    <t>AQUARESIN CURRY MASALA, NS</t>
  </si>
  <si>
    <t>McCormick/ all customer</t>
  </si>
  <si>
    <t>Price quoted on 9 Jun 23</t>
  </si>
  <si>
    <t>22.507038</t>
  </si>
  <si>
    <t>AQUARESIN CHAT MASALA</t>
  </si>
  <si>
    <t>22.30.007</t>
  </si>
  <si>
    <t>AQUARESIN GARAM MASALA, NS</t>
  </si>
  <si>
    <t>Quoted on 3 May 23</t>
  </si>
  <si>
    <t>Just for this time only, to get 1 PO from Griffith for 225 kg Capsicum 01.003488 in June 2023 for delivery in July 2023; I agree to adjust Capsicum price to USD 30.00/kg ex works Kalamazoo - just for this particular special case.
The validity of this price is until 23 June 2023.</t>
  </si>
  <si>
    <t>Special offering to Griffith biddin gonly 225 kg wihtin in June only one PO</t>
  </si>
  <si>
    <t>13.06.39</t>
  </si>
  <si>
    <t>Aquaresin Ginger, ns</t>
  </si>
  <si>
    <t>FIT/all customers</t>
  </si>
  <si>
    <t>quoted on 19 Jun 23</t>
  </si>
  <si>
    <t>44.013.001</t>
  </si>
  <si>
    <t>NATUREBRITE MALT WSP</t>
  </si>
  <si>
    <t>Griffith/all customer</t>
  </si>
  <si>
    <t>Quoted on 23 Feb 2023</t>
  </si>
  <si>
    <t>o	Product Form = Powder
o	Shelf Life = 450 days, cold
o	Pack Size = 25kg, bag in box
o	MOQ = 25KG Box
o	Country of Origin = UK</t>
  </si>
  <si>
    <t>Price quoted on 27 Jun 23</t>
  </si>
  <si>
    <t>NATURAL ROADTED ONION TYPE FLAVOR</t>
  </si>
  <si>
    <t>pv FOODS/ ALL</t>
  </si>
  <si>
    <t>Quoted on 30 June 23</t>
  </si>
  <si>
    <t>Quoted on 27 Jun 23</t>
  </si>
  <si>
    <t>51.15</t>
  </si>
  <si>
    <t>FRIED ONION CONCENTRATE</t>
  </si>
  <si>
    <t>OLORESIN CORIANDER TYPES</t>
  </si>
  <si>
    <t>41.19.104</t>
  </si>
  <si>
    <t>OLEORESIN ROSEMARY HT-125</t>
  </si>
  <si>
    <t>Monde Nissin/all</t>
  </si>
  <si>
    <t>Quoted on 3 July 2023</t>
  </si>
  <si>
    <t>41.19.146</t>
  </si>
  <si>
    <t>OLEORESIN ROSEMARY HT-200</t>
  </si>
  <si>
    <t>quoted on 11 July 23</t>
  </si>
  <si>
    <t>price reduction require regain volume &gt;1000 Kg</t>
  </si>
  <si>
    <t>Newly Weds</t>
  </si>
  <si>
    <t>quoted on 18 July 23</t>
  </si>
  <si>
    <t>Project matching for NWF only</t>
  </si>
  <si>
    <t>68.65.003</t>
  </si>
  <si>
    <t>Savory Flavor Booster</t>
  </si>
  <si>
    <t>42.05/22.68 kg bag powder</t>
  </si>
  <si>
    <t>47.05/11.34 kg bag powder</t>
  </si>
  <si>
    <t>packing 22.68 = 42.05 USD/kg / Small pack 11.34 per bag = 47.05 USD/kg</t>
  </si>
  <si>
    <t>Quoted on 24 july 23</t>
  </si>
  <si>
    <t xml:space="preserve">68.65.003 resembles DURASHIELD FOOD PROTECTION NP- where it covers broad range of microorganism that cause spoilage	</t>
  </si>
  <si>
    <t>41.95/22.68 kg bag powder</t>
  </si>
  <si>
    <t>68.65.005 resembles DURASHIELD FOOD PROTECTION NP2- where it covers most spoilage caused by yeast and mold.</t>
  </si>
  <si>
    <t>Quoted on 12 Sep 23</t>
  </si>
  <si>
    <t xml:space="preserve">DURABRITE® OLEORESIN CARROT, 2%                             </t>
  </si>
  <si>
    <t>Quoted on 14 Sep 23</t>
  </si>
  <si>
    <t>This is of INS160a(ii), a vegetal carotene. Which is also a natural beta carotene, and shall not compare with INS160a(i) in the market</t>
  </si>
  <si>
    <t>Connell &amp; all customers include Kerry</t>
  </si>
  <si>
    <t xml:space="preserve">Price quoted on 26 Sep </t>
  </si>
  <si>
    <t>Apply price for Kerry TH</t>
  </si>
  <si>
    <t>PRICE QUOTED ON 7 SEP23</t>
  </si>
  <si>
    <t>01.100.06.605</t>
  </si>
  <si>
    <t>OLEORESIN CAPSICUM</t>
  </si>
  <si>
    <t>01.060.05.502</t>
  </si>
  <si>
    <t>OLEORESIN CAPSICUM AFRICAN TYPE 6% MC</t>
  </si>
  <si>
    <t>22.02.036</t>
  </si>
  <si>
    <t>ANCHO PEPPER FLAVOR WONF WS</t>
  </si>
  <si>
    <t>PRICE QUOTED IN 2 OCT 23 BY CHAT</t>
  </si>
  <si>
    <t>ANCHO PEPPER FLAVOR WONF OS</t>
  </si>
  <si>
    <t xml:space="preserve">Garlic </t>
  </si>
  <si>
    <t>same 501</t>
  </si>
  <si>
    <t>Garlic 80x</t>
  </si>
  <si>
    <t>same 543</t>
  </si>
  <si>
    <t>same 23</t>
  </si>
  <si>
    <t>same 25</t>
  </si>
  <si>
    <t>same 27</t>
  </si>
  <si>
    <t>same 37</t>
  </si>
  <si>
    <t>Clearcap super soluble capsicum</t>
  </si>
  <si>
    <t>same 72</t>
  </si>
  <si>
    <t>Tyson -McKey</t>
  </si>
  <si>
    <t>FCI /all customer</t>
  </si>
  <si>
    <t>Inactive</t>
  </si>
  <si>
    <t>MNC Contract price - support price at 57.8 as special price for NWF</t>
  </si>
  <si>
    <t>same 239</t>
  </si>
  <si>
    <t>same 308</t>
  </si>
  <si>
    <t>Kalsec update to move price for 37.63 same NWF on 2/2/2023</t>
  </si>
  <si>
    <t>Connell Contract price  - Kalsec update to move price for 37.63 same NWF on 2/2/2023</t>
  </si>
  <si>
    <t>AQUARESIN CHIPOTLE, NS</t>
  </si>
  <si>
    <t>same 807</t>
  </si>
  <si>
    <t>Repalcement with 1.3 times of 22.89.60 NATURAL SHALLOT FLAVOR WONF FRIED TYPE  / 2 times of 70.097447	NATURAL FRIED SHALLOT TYPE FLAVOR</t>
  </si>
  <si>
    <t xml:space="preserve"> FCT VOLUME 30 Kg</t>
  </si>
  <si>
    <t xml:space="preserve">  FCT VOLUME100kg</t>
  </si>
  <si>
    <t>QUOTED ON 7 SEP 23</t>
  </si>
  <si>
    <t>22.31.026</t>
  </si>
  <si>
    <t>QUOTED ON 21 Aug 23</t>
  </si>
  <si>
    <t>51.827619</t>
  </si>
  <si>
    <t>OLEORESIN ONION NS</t>
  </si>
  <si>
    <t>The OLEORESIN ONION below is a highly concentrated extract, dose is usually very small</t>
  </si>
  <si>
    <t>Wide Faith</t>
  </si>
  <si>
    <t>price quoted 16 nov 2022</t>
  </si>
  <si>
    <t>Price Quoted on 24th January, 2022</t>
  </si>
  <si>
    <t>Renewal Contract 2022</t>
  </si>
  <si>
    <t xml:space="preserve">Price Quoted on 17th Jun, 2021 </t>
  </si>
  <si>
    <t xml:space="preserve">Price Quoted on 25th March 2022 </t>
  </si>
  <si>
    <t xml:space="preserve">Price Quoted on 28th October 2021, Price Effective on 1st Jan 2022 </t>
  </si>
  <si>
    <t xml:space="preserve">Price Quoted  on 8th Dec 2021 </t>
  </si>
  <si>
    <t>Price Quoted on 10th Nov 2021, effective 1st Jan 22 onward</t>
  </si>
  <si>
    <t>Price quoted on 15th Jun 2022</t>
  </si>
  <si>
    <t>01.100.00.10</t>
  </si>
  <si>
    <t>Price quoted on 10th Dec 2021, price effective on 1st Jan 21 onward</t>
  </si>
  <si>
    <t>NATUREBRITE® PAPRIKA OIL</t>
  </si>
  <si>
    <t xml:space="preserve">Price Quoted on 25th April 2022 </t>
  </si>
  <si>
    <t xml:space="preserve">For Normal Customer, at any volume  </t>
  </si>
  <si>
    <t xml:space="preserve">PAUSE for Promotion Price </t>
  </si>
  <si>
    <t xml:space="preserve">Price Quoted on 8 Feb 2021, 900-1,000 kg annually, Promotion Price </t>
  </si>
  <si>
    <t>CONNELL (Special Price FCI)</t>
  </si>
  <si>
    <t xml:space="preserve">Price quoted on 10 Mar, 21 , (For Food Coating International ONLY) - 1,000 - 10,000 kgs purchase order </t>
  </si>
  <si>
    <t>Price Quoted, 
19 Jan 21, &lt;100 KG</t>
  </si>
  <si>
    <t>Price Quoted on 1st July, 2021, amended on 15th July 2021</t>
  </si>
  <si>
    <t xml:space="preserve">Price Quoted on 26th Nov, 2021, Price effective from 1st Jan 2022 onward </t>
  </si>
  <si>
    <t>price quoted 30 oct 202</t>
  </si>
  <si>
    <t xml:space="preserve">Price Quoted on 30th Nov 2021 </t>
  </si>
  <si>
    <t xml:space="preserve">Price quoted </t>
  </si>
  <si>
    <t>Price Quoted on 5th August 2021</t>
  </si>
  <si>
    <t>18.02</t>
  </si>
  <si>
    <t>OIL OF NUTMEG</t>
  </si>
  <si>
    <t>Quote price under Connell contract</t>
  </si>
  <si>
    <t xml:space="preserve">Price Quoted on 3rd Dec 2021, Price Effective from 1st Jan 2022 Onward </t>
  </si>
  <si>
    <t>AQUARESIN® TERIYAKI SPICE, NS</t>
  </si>
  <si>
    <t>Price Quoted on 03 Mar 2022, Price Effective on 1st April - 30th Sep 2022</t>
  </si>
  <si>
    <t>22.17.008</t>
  </si>
  <si>
    <t xml:space="preserve">AC - TURKISH BAHARAT SPICE FLAVOR </t>
  </si>
  <si>
    <t>22.19.004</t>
  </si>
  <si>
    <t>AQUARESIN BARBEQUE SPICE, NS</t>
  </si>
  <si>
    <t xml:space="preserve">Renewal Contact, 2021 Cancelled </t>
  </si>
  <si>
    <t>Price Quoted on 12 Jan 21</t>
  </si>
  <si>
    <t>22.47.008</t>
  </si>
  <si>
    <t>ISOFRESH® BASIL</t>
  </si>
  <si>
    <t>Price Quoted on 14th July 2021, &lt; 100 KG</t>
  </si>
  <si>
    <t>22.55.021</t>
  </si>
  <si>
    <t>ZERO DEGREES® BRINED JALAPENO WONF, WS</t>
  </si>
  <si>
    <t>Product deactivated was informed on 20th Jan 2022.</t>
  </si>
  <si>
    <t xml:space="preserve">Speical Promotion for Sensient Technology </t>
  </si>
  <si>
    <t>16/07/2020 
-12/31/2020</t>
  </si>
  <si>
    <t xml:space="preserve">For Purchase Order with Quantity 500 - 1,000 KG Only </t>
  </si>
  <si>
    <t>Price quoted on 18 Aug 21, Dummy PO Required from the customer,  Expecting Quanity 1,500 - 2,000 kg/annum</t>
  </si>
  <si>
    <t>Price quoted on 18 Aug 21</t>
  </si>
  <si>
    <t>Price quoted on 22nd Nov 2021, Price Effective on 1st Jan 2022.</t>
  </si>
  <si>
    <t xml:space="preserve">Price Quoted on 9th May 2022 </t>
  </si>
  <si>
    <t>Price Quoted on 12th July 2022. Pail price will be considered,  price request needed again. We used to ask the support at USD/KG 40.00 and at this price our DDP for Kerry should be 2,565 THB/KG</t>
  </si>
  <si>
    <t>GOOD TO GO 2021</t>
  </si>
  <si>
    <t xml:space="preserve">Price Quoted on 4th March 2022 </t>
  </si>
  <si>
    <t>22.997255</t>
  </si>
  <si>
    <t>AQUARESIN® FRANKFURTER SPICE, NS</t>
  </si>
  <si>
    <t>Price quoted on 28th April 2022</t>
  </si>
  <si>
    <t>Pack code of 
18 kg pail = P7</t>
  </si>
  <si>
    <t>Pack code of 18 kg pail = P7</t>
  </si>
  <si>
    <t>26.05</t>
  </si>
  <si>
    <t>OIL OF BAY WONF</t>
  </si>
  <si>
    <t>Price Quoted on 23rd Nov 2021, effective 1st Jan 22 onward</t>
  </si>
  <si>
    <t>Price Quote on 29th Nov, 2021</t>
  </si>
  <si>
    <t>Natural Roasted Garlic Flavor WONF</t>
  </si>
  <si>
    <t>Price quoted on 15 Dec 22</t>
  </si>
  <si>
    <t xml:space="preserve">OLEORESIN MARJORAM, NS </t>
  </si>
  <si>
    <t xml:space="preserve">OLEORESIN OREGANO, NS </t>
  </si>
  <si>
    <t xml:space="preserve">Confirmed </t>
  </si>
  <si>
    <t>Renewal Contract 2021, Cancelled</t>
  </si>
  <si>
    <t>Price Quoted on 11 Jan 21, 2,000 KG (Jan - Dec 2021)</t>
  </si>
  <si>
    <t>Price Quoted on 19th Jan 2022</t>
  </si>
  <si>
    <t xml:space="preserve">Price Quoted on 28th Mar 2022 </t>
  </si>
  <si>
    <t>Price Quoted on 8th April 2022</t>
  </si>
  <si>
    <t xml:space="preserve">Price Quoted on 18th July 2022. </t>
  </si>
  <si>
    <t>Price confirm by Tze Hong on 12Sep2022</t>
  </si>
  <si>
    <t>OLEORESIN CILANTRO, TYPE  C</t>
  </si>
  <si>
    <t>Price Quoted on 20th Oct 2021, 100-200 kg, effective 1st Jan 22 onward</t>
  </si>
  <si>
    <t>Price Quoted on 26th May 2022</t>
  </si>
  <si>
    <t>Price Quoted on 8th July 2022, 100-200 KG</t>
  </si>
  <si>
    <t>updated on 
23-Dec-20</t>
  </si>
  <si>
    <t>Price Quoted on 18th July 2022, &lt; 100 KG</t>
  </si>
  <si>
    <t>51.12</t>
  </si>
  <si>
    <t>Price Quoted on 29th Sep  2022</t>
  </si>
  <si>
    <t>ONION, OIL SOLUBLE, NS</t>
  </si>
  <si>
    <t xml:space="preserve">CONNELL with 
Blanket PO &gt; 4 MTs ONLY </t>
  </si>
  <si>
    <t xml:space="preserve">Price Quoted on Feb 2, 2021 , Promotional Price </t>
  </si>
  <si>
    <t>51.827691</t>
  </si>
  <si>
    <t>OLEORESIN ONION, NS</t>
  </si>
  <si>
    <t>Price Quoted on 2nd Aug 2022</t>
  </si>
  <si>
    <t>Price Quoted on 9th Aug 2022</t>
  </si>
  <si>
    <t>Price Quote, 
23 Feb 21, &lt;100 KG</t>
  </si>
  <si>
    <t xml:space="preserve">Price Quote on 1st July, 2021 </t>
  </si>
  <si>
    <t>Price Quoted on 19th Jan 2022. Price Effective from 1st Jan 2022 onward</t>
  </si>
  <si>
    <t>Price Quoted on 26th May 2021</t>
  </si>
  <si>
    <t xml:space="preserve">CONNELL - Except Innofresh </t>
  </si>
  <si>
    <t xml:space="preserve">Price Quoted on 29th June, 2021 , Separated Customers on 20th Aug 2021 </t>
  </si>
  <si>
    <t xml:space="preserve">CONNELL - Innofresh Only </t>
  </si>
  <si>
    <t xml:space="preserve">Price Quoted on 20th Aug 2021 , Separated Customers on 20th Aug 2021 </t>
  </si>
  <si>
    <t>Price quoted on 18th November 2021, Price Effective on 1st Jan 2022</t>
  </si>
  <si>
    <t>Price quoted on 25th May 2022</t>
  </si>
  <si>
    <t>56.01</t>
  </si>
  <si>
    <t>58.07</t>
  </si>
  <si>
    <t xml:space="preserve">Price Quoted on 7th Feb 2022 </t>
  </si>
  <si>
    <t xml:space="preserve">Price Quoted on 15th Jun 2022 </t>
  </si>
  <si>
    <t>Price Quoted on 21st Oct 2021, effective 1st Jan 22 onward</t>
  </si>
  <si>
    <t xml:space="preserve">OLEORESIN ALLSPICE, NS                                      </t>
  </si>
  <si>
    <t xml:space="preserve"> 213.00 </t>
  </si>
  <si>
    <t xml:space="preserve">CHIPOTLE [SMOKED PEPPER]FLAVOR                              </t>
  </si>
  <si>
    <t xml:space="preserve"> 46.00 </t>
  </si>
  <si>
    <t>McCormick only &amp; new customers &amp; new project &amp; NEW USER</t>
  </si>
  <si>
    <t>TURMERIC EXTRACT IN CANOLA OIL                             </t>
  </si>
  <si>
    <t>Kerry Ingredient only</t>
  </si>
  <si>
    <t>41.19.151</t>
  </si>
  <si>
    <t>OLEORESIN ROSEMARY HERBALOX BRAND</t>
  </si>
  <si>
    <t>Srinanaporn / All customer</t>
  </si>
  <si>
    <t>quoted on 6 Nov 23</t>
  </si>
  <si>
    <t>quoted on 6 Nov 23 /  41.19.151 is a new version of WS Herbalox Rosemary extract that we created for beverage application, with mainly rosmarinic acid. It has less contribution to flavor and better solubility. We are currently selling this code to CONNELL CALDIC AUS, and targeting mainly beverage application especially brewery application</t>
  </si>
  <si>
    <t>Oil of Nutmeg</t>
  </si>
  <si>
    <t>DG Class 3 good</t>
  </si>
  <si>
    <t>quoted on 8 Feb 24</t>
  </si>
  <si>
    <t>CARMIN LIQUID</t>
  </si>
  <si>
    <t>quoted on 29 Jan 24</t>
  </si>
  <si>
    <t>RED BEET POWDER</t>
  </si>
  <si>
    <t>15KG DRUM/</t>
  </si>
  <si>
    <t>55.001.05.603</t>
  </si>
  <si>
    <t>Oleoresin Guajillo Pepper, Expeller Pressed</t>
  </si>
  <si>
    <t>quoted on 6 Feb 24</t>
  </si>
  <si>
    <t>10 working days, VOLUME &lt;500 KG</t>
  </si>
  <si>
    <t>tyson</t>
  </si>
  <si>
    <t>31st March 2024</t>
  </si>
  <si>
    <t>Quoted on 28 Dec 23</t>
  </si>
  <si>
    <t>&gt;1000KG, Thailand</t>
  </si>
  <si>
    <t>22.487047</t>
  </si>
  <si>
    <t>AQURESIN TIKKA HOT SPICES</t>
  </si>
  <si>
    <t>Price quoted on 30 Nov 23</t>
  </si>
  <si>
    <t>price quoted 27 Nov 2023</t>
  </si>
  <si>
    <t xml:space="preserve">ISOFRESH® NATURAL GARLIC FLAVOR WONF                        </t>
  </si>
  <si>
    <t>quoted on 28 Dec 23</t>
  </si>
  <si>
    <t>Quoted on 24 Feb</t>
  </si>
  <si>
    <t>&lt;200KG, Thailand</t>
  </si>
  <si>
    <t xml:space="preserve">CLEARCAP® GHOST PEPPER EXTRACT                              </t>
  </si>
  <si>
    <t>Quoted on 20Feb</t>
  </si>
  <si>
    <t>&lt;100KG, Thailand</t>
  </si>
  <si>
    <t xml:space="preserve">VEGETONE ANTHO RED </t>
  </si>
  <si>
    <t>Quoted on 19 Feb</t>
  </si>
  <si>
    <t>L/T 20 working days, 100 kg</t>
  </si>
  <si>
    <t>41.19.52</t>
  </si>
  <si>
    <t xml:space="preserve">OLEORESIN ROSEMARY, HERBALOX® BRAND                         </t>
  </si>
  <si>
    <t>proprietary code for Diageo only / quoted 6 Feb</t>
  </si>
  <si>
    <t>22.48.010</t>
  </si>
  <si>
    <t>Fresh Cilantro WONF</t>
  </si>
  <si>
    <t>Quoted on 28 Feb</t>
  </si>
  <si>
    <t>L/T 15 working days, 100 kg</t>
  </si>
  <si>
    <t xml:space="preserve">Oleoresin Ghost Pepper </t>
  </si>
  <si>
    <t>Kerry Bidding</t>
  </si>
  <si>
    <t>Kerry Bidding 24 Jan / volume</t>
  </si>
  <si>
    <t>1 x 20' fcl would fit 7.2mt of Kalsec goods (20 pallets x 360kg)</t>
  </si>
  <si>
    <t>Price quoted on 25 Jan 24</t>
  </si>
  <si>
    <t>Please use 2023 price to proceed as PO for 2024, and the validity will towards 31st December 2024.</t>
  </si>
  <si>
    <t>requoted on 19 Apr 24</t>
  </si>
  <si>
    <t>22.01.088</t>
  </si>
  <si>
    <t xml:space="preserve">AQUARESIN NATURAL CAYNENE </t>
  </si>
  <si>
    <t>QUOTED ON 25/4/2/24</t>
  </si>
  <si>
    <t>79.03.001</t>
  </si>
  <si>
    <t>HEATSYNC NML WD</t>
  </si>
  <si>
    <t>QUOTED ON 29/4/2/24</t>
  </si>
  <si>
    <t>REVISED PRICE FROM 120 USD/KG PACK 3.4 KG QUOTED ON 25/4/2024</t>
  </si>
  <si>
    <t>OLEORESIN GHOST PEPPER EXPELLER PRESSED</t>
  </si>
  <si>
    <t>QUOTED ON 30 APR 24</t>
  </si>
  <si>
    <t>ETD Seneko within 30 Sep 24</t>
  </si>
  <si>
    <t xml:space="preserve">Support special price at 1,200 kg order ETD SG within 30 Sep only </t>
  </si>
  <si>
    <t>NO</t>
  </si>
  <si>
    <t>22.30.045</t>
  </si>
  <si>
    <t>Natural Curry Extract Blend</t>
  </si>
  <si>
    <t>quoted 14 May 24</t>
  </si>
  <si>
    <t>OLEORESIN ROSEMARY HERBALOX XT-O</t>
  </si>
  <si>
    <t xml:space="preserve"> 500.05 </t>
  </si>
  <si>
    <t>ALL CUSTOMER, KERRY</t>
  </si>
  <si>
    <t>Oishi only</t>
  </si>
  <si>
    <t>QUOTED 30/8/24</t>
  </si>
  <si>
    <t>Special offering for OISHI Only</t>
  </si>
  <si>
    <t>CPF BIDDING</t>
  </si>
  <si>
    <t>QUOTED ON 11 SEP 2024</t>
  </si>
  <si>
    <t>01.100.04.608</t>
  </si>
  <si>
    <t>OLEORESIN CAP AFRICAN</t>
  </si>
  <si>
    <t>1 M OS CAPICUM 6.6% MC</t>
  </si>
  <si>
    <t>01.031.00.506</t>
  </si>
  <si>
    <t>CLEARCA SUPER SOLUBLE</t>
  </si>
  <si>
    <t>WS 500X CAP</t>
  </si>
  <si>
    <t>01.050.03.604</t>
  </si>
  <si>
    <t>OLEORESIN CAP W/S</t>
  </si>
  <si>
    <t>500K SHU WS - POLYSORBATE</t>
  </si>
  <si>
    <t>01.040.01.502</t>
  </si>
  <si>
    <t>OLEORESIN CAP AFRICAN TYPE 4% MC</t>
  </si>
  <si>
    <t>3.3% MC</t>
  </si>
  <si>
    <t>03.04</t>
  </si>
  <si>
    <t>OLEORESIN BLACK PEPEPR</t>
  </si>
  <si>
    <t>62.150.34</t>
  </si>
  <si>
    <t>DURALOX A AN-110 XT,NS</t>
  </si>
  <si>
    <t xml:space="preserve">ALL </t>
  </si>
  <si>
    <t>TAOKAENOI</t>
  </si>
  <si>
    <t>22.39.263</t>
  </si>
  <si>
    <t>AQUARESIN PIRI PIRI SPICES</t>
  </si>
  <si>
    <t>ALL</t>
  </si>
  <si>
    <t>VEGETONE RADIANT YELLOW</t>
  </si>
  <si>
    <t>QUOTED 26/8/24</t>
  </si>
  <si>
    <t>55.014.00.501</t>
  </si>
  <si>
    <t xml:space="preserve"> FastCap™ Chili Extract</t>
  </si>
  <si>
    <t>QUOTED 23/8/24</t>
  </si>
  <si>
    <t>22.46.003</t>
  </si>
  <si>
    <t>NATURAL PORTER TYPE FLAVOR FOR FOOD</t>
  </si>
  <si>
    <t>QUOTED 20/8/24</t>
  </si>
  <si>
    <t>22.39.008</t>
  </si>
  <si>
    <t>AQUARESIN HORSERADISH FLAVOR WONF</t>
  </si>
  <si>
    <t>Pack size below 5kg, DG CLASS 9 item can be shipped under normal shipment.</t>
  </si>
  <si>
    <t>22.19.65</t>
  </si>
  <si>
    <t>AQUARESIN DILL PICKLE SPICE</t>
  </si>
  <si>
    <t>DG CLASS 3</t>
  </si>
  <si>
    <t>22.89.60</t>
  </si>
  <si>
    <t>Natural shallot WONF</t>
  </si>
  <si>
    <t>22.01.101</t>
  </si>
  <si>
    <t>NATURAL BIRD'S EYE CHILI FLAVOR WONF</t>
  </si>
  <si>
    <t>AQUARESIN CHIPOTLE PEPPER EXTRACT</t>
  </si>
  <si>
    <t>OLEORESIN CELERY NS</t>
  </si>
  <si>
    <t>Anything &gt;5kg pack size, this item will have to be shipped under DG shipment</t>
  </si>
  <si>
    <t>22.55.081</t>
  </si>
  <si>
    <t xml:space="preserve">Natural Toasted Serrano Pepper Type Flavor                  </t>
  </si>
  <si>
    <t>30.04</t>
  </si>
  <si>
    <t>OIL OF CORIANDER</t>
  </si>
  <si>
    <t>PRODUCTION L/T 10 WK DAYS</t>
  </si>
  <si>
    <t>22.51.028</t>
  </si>
  <si>
    <t>PRODUCTION L/T 20 WK DAYS</t>
  </si>
  <si>
    <t>22.01.094</t>
  </si>
  <si>
    <t>NATURAL PEPPERONI SPICE FLAVOR</t>
  </si>
  <si>
    <t>SMOKED PAPRIKA TYPE FLAVOR- NATURAL</t>
  </si>
  <si>
    <t>HORSERADISH FLAVOR WONF NS</t>
  </si>
  <si>
    <t>DG CLASS 9</t>
  </si>
  <si>
    <t>GOCHUJANG TYPE FLAVOR</t>
  </si>
  <si>
    <t>NATURAL KIMCHI TYPE FLAVOR</t>
  </si>
  <si>
    <t>22.02.095</t>
  </si>
  <si>
    <t>TACO SPICE</t>
  </si>
  <si>
    <t>AQUARSIN TACO SPICE</t>
  </si>
  <si>
    <t>AQUARESIN CURRY SPICE</t>
  </si>
  <si>
    <t>NA NASHVILLE HOT CHICKEN</t>
  </si>
  <si>
    <t>NATURAL LEMON PEPPER</t>
  </si>
  <si>
    <t>LEMONGRASS OIL SOLUBLE</t>
  </si>
  <si>
    <t>GOOD TO GO 2024 - Achived</t>
  </si>
  <si>
    <t>&lt;100 KG</t>
  </si>
  <si>
    <t>&lt;300 kg</t>
  </si>
  <si>
    <t>Contract price quoted on 4 Jan 2024</t>
  </si>
  <si>
    <t xml:space="preserve">                       29.90 </t>
  </si>
  <si>
    <t xml:space="preserve">                34.90 </t>
  </si>
  <si>
    <t>For volume &lt; 5 MT / Contract price quoted on 4 Jan 2024</t>
  </si>
  <si>
    <t xml:space="preserve">                       29.95 </t>
  </si>
  <si>
    <t xml:space="preserve">                34.95 </t>
  </si>
  <si>
    <t>22.30.119 Inactive</t>
  </si>
  <si>
    <t>Predominated by coriander and fenugreek with underlying characters of cardamon and cumin</t>
  </si>
  <si>
    <t>22.34.014 Inactive</t>
  </si>
  <si>
    <t xml:space="preserve">                       50.30 </t>
  </si>
  <si>
    <t xml:space="preserve">                55.30 </t>
  </si>
  <si>
    <t xml:space="preserve">                       39.95 </t>
  </si>
  <si>
    <t xml:space="preserve">                44.95 </t>
  </si>
  <si>
    <t xml:space="preserve">                       60.35 </t>
  </si>
  <si>
    <t xml:space="preserve">                65.35 </t>
  </si>
  <si>
    <t>Pack size &gt;5kg would fall under DG shipment.</t>
  </si>
  <si>
    <t xml:space="preserve">                45.00 </t>
  </si>
  <si>
    <t>McCormick only</t>
  </si>
  <si>
    <t>Price quoted on 29 Nov 23</t>
  </si>
  <si>
    <t xml:space="preserve">  FCT VOLUME 40 Kg</t>
  </si>
  <si>
    <t>PRICE QUOTED ON 3 Oct 2023</t>
  </si>
  <si>
    <t>quoted on 3 Oct 2023</t>
  </si>
  <si>
    <t>FCI /all customers</t>
  </si>
  <si>
    <t>2000 KG Thailand</t>
  </si>
  <si>
    <t>OLEORESIN GHOST PEPEPR</t>
  </si>
  <si>
    <t>AQUARESIN CAPSICUM DECOLORIZED, NS</t>
  </si>
  <si>
    <t>Tyson / All customer</t>
  </si>
  <si>
    <t>price quoted 27 Nov 23</t>
  </si>
  <si>
    <t>end Mar 24</t>
  </si>
  <si>
    <t>Support only 1 PO 400.12 kg on March</t>
  </si>
  <si>
    <t>22.30.119</t>
  </si>
  <si>
    <t>AQUARESIN® CURRY SPICE, NS</t>
  </si>
  <si>
    <t>22.34.014</t>
  </si>
  <si>
    <t>NATIRAL BIRD'S EYE CHILI TYPF FLAVOR WATER SOLOBLE</t>
  </si>
  <si>
    <t>OLEORESIN CLILANTRO TYPE C</t>
  </si>
  <si>
    <t>KERRY CONTRACT &amp; CONNELL</t>
  </si>
  <si>
    <r>
      <t>valid from 1</t>
    </r>
    <r>
      <rPr>
        <vertAlign val="superscript"/>
        <sz val="8"/>
        <color theme="1"/>
        <rFont val="Calibri"/>
        <family val="2"/>
        <scheme val="minor"/>
      </rPr>
      <t>st</t>
    </r>
    <r>
      <rPr>
        <sz val="8"/>
        <color theme="1"/>
        <rFont val="Calibri"/>
        <family val="2"/>
        <scheme val="minor"/>
      </rPr>
      <t xml:space="preserve"> January 2025 till 31</t>
    </r>
    <r>
      <rPr>
        <vertAlign val="superscript"/>
        <sz val="8"/>
        <color theme="1"/>
        <rFont val="Calibri"/>
        <family val="2"/>
        <scheme val="minor"/>
      </rPr>
      <t>st</t>
    </r>
    <r>
      <rPr>
        <sz val="8"/>
        <color theme="1"/>
        <rFont val="Calibri"/>
        <family val="2"/>
        <scheme val="minor"/>
      </rPr>
      <t xml:space="preserve"> December 2025</t>
    </r>
  </si>
  <si>
    <t>QUOTED ON 30 OCT 2024</t>
  </si>
  <si>
    <t>THAI ROASTED CHILI SPICES BLEND</t>
  </si>
  <si>
    <t>OLEORESIN GHOST PEPPER, NS</t>
  </si>
  <si>
    <t>OLEORESIN HABANERO PEPPER EXPELLER PRESED</t>
  </si>
  <si>
    <t>OLEORESIN CAYENNE PEPPER EXPELLER PRESSED</t>
  </si>
  <si>
    <t>OLEOREIN CELERY, FRENCH</t>
  </si>
  <si>
    <t>OLEORESIN GREEN GINGER</t>
  </si>
  <si>
    <t>22.19.13</t>
  </si>
  <si>
    <t>AQUARESIN CHILI SPICE</t>
  </si>
  <si>
    <t>OLEORESIN ORIGANO, NS</t>
  </si>
  <si>
    <t>F43562 (Dummy Code only)</t>
  </si>
  <si>
    <t xml:space="preserve">Tomato flavor WONF OS Code F 43562 </t>
  </si>
  <si>
    <t>GOOD TO GO 2024 - not for commercail</t>
  </si>
  <si>
    <t>idea price only</t>
  </si>
  <si>
    <t>quoted on 25 Jan 24</t>
  </si>
  <si>
    <t>12.150.39</t>
  </si>
  <si>
    <t>AQUARESIN TURMERIC</t>
  </si>
  <si>
    <t>ETA Kalsec Singapore in 8-11 weeks upon receive your order</t>
  </si>
  <si>
    <t>31.24</t>
  </si>
  <si>
    <t>GARLIC OIL</t>
  </si>
  <si>
    <t>22.497075</t>
  </si>
  <si>
    <t>HORSERADISH FLAVOR</t>
  </si>
  <si>
    <t>30 Sep 2025</t>
  </si>
  <si>
    <t>DG Good class 9, packaging &gt;5kg will need to ship under DG shipment / Please encourage customer to purchase 3.4kg in order to ship under normal condition.</t>
  </si>
  <si>
    <t>Validity</t>
  </si>
  <si>
    <r>
      <t xml:space="preserve">Thank you for your email.  </t>
    </r>
    <r>
      <rPr>
        <sz val="10"/>
        <color theme="1"/>
        <rFont val="Arial"/>
        <family val="2"/>
      </rPr>
      <t>How an order is prepared depends on the package type (carton, pail, jerrican, drum, aluminum drum/bottle) combination or package types and how the order is shipping, via air or ocean.</t>
    </r>
  </si>
  <si>
    <t>The below are approximate breakdowns and should be used as a guide and not as an exact reference.  Please also note, each of our shipping operators builds skids as they feel best incorporate each different type of packaging. Meaning, each operator may package an identical shipment differently.</t>
  </si>
  <si>
    <t>Thank you,</t>
  </si>
  <si>
    <r>
      <t>Molly Zelichowski</t>
    </r>
    <r>
      <rPr>
        <b/>
        <sz val="10"/>
        <color rgb="FF4F4F4F"/>
        <rFont val="Arial"/>
        <family val="2"/>
      </rPr>
      <t xml:space="preserve"> | </t>
    </r>
    <r>
      <rPr>
        <b/>
        <sz val="10"/>
        <color theme="1"/>
        <rFont val="Arial"/>
        <family val="2"/>
      </rPr>
      <t>Kalsec</t>
    </r>
    <r>
      <rPr>
        <b/>
        <vertAlign val="superscript"/>
        <sz val="10"/>
        <color theme="1"/>
        <rFont val="Arial"/>
        <family val="2"/>
      </rPr>
      <t>®</t>
    </r>
    <r>
      <rPr>
        <b/>
        <sz val="10"/>
        <color theme="1"/>
        <rFont val="Arial"/>
        <family val="2"/>
      </rPr>
      <t>, Inc.</t>
    </r>
    <r>
      <rPr>
        <sz val="10"/>
        <color theme="1"/>
        <rFont val="Arial"/>
        <family val="2"/>
      </rPr>
      <t xml:space="preserve"> </t>
    </r>
    <r>
      <rPr>
        <b/>
        <sz val="10"/>
        <color rgb="FF4F4F4F"/>
        <rFont val="Arial"/>
        <family val="2"/>
      </rPr>
      <t>|</t>
    </r>
    <r>
      <rPr>
        <b/>
        <sz val="10"/>
        <color theme="1"/>
        <rFont val="Arial"/>
        <family val="2"/>
      </rPr>
      <t xml:space="preserve"> Outbound Logistics Specialist</t>
    </r>
  </si>
  <si>
    <t xml:space="preserve">REASON </t>
  </si>
  <si>
    <t xml:space="preserve">ACTION </t>
  </si>
  <si>
    <t xml:space="preserve">PRODUCT CODE SUBSTITUTE </t>
  </si>
  <si>
    <t xml:space="preserve">SUBSTITUTED PRODUCT </t>
  </si>
  <si>
    <t xml:space="preserve">REMARK </t>
  </si>
  <si>
    <t xml:space="preserve">01.100.03.01 </t>
  </si>
  <si>
    <t xml:space="preserve">OLEORESIN CAPSICUM, 
AFRICAN TYPE      </t>
  </si>
  <si>
    <t xml:space="preserve">GMO PRODUCT </t>
  </si>
  <si>
    <t xml:space="preserve">CONSIDER NON GMO ALTERNATIVE </t>
  </si>
  <si>
    <t xml:space="preserve">01.100.03.03 </t>
  </si>
  <si>
    <t xml:space="preserve">OLEORESIN CAPSICUM, AFRICAN, NS                         </t>
  </si>
  <si>
    <t>Last order PO by April 2, 2021 
Last ship out date to be April 30, 2021</t>
  </si>
  <si>
    <t xml:space="preserve">AQUARESIN® GARLIC                                     </t>
  </si>
  <si>
    <t>31.05</t>
  </si>
  <si>
    <t xml:space="preserve">GARLIC, OIL SOLUBLE, 80X                            </t>
  </si>
  <si>
    <t xml:space="preserve">GARLIC, OIL SOLUBLE, 80X, NS                                </t>
  </si>
  <si>
    <t xml:space="preserve">OLEORESIN ROSEMARY </t>
  </si>
  <si>
    <t xml:space="preserve">OLEORESIN ROSEMARY, HERBALOX® BRAND, TYPE HT-O </t>
  </si>
  <si>
    <t xml:space="preserve">41.19.25 </t>
  </si>
  <si>
    <t>OLEORESIN ROSEMARY, HERBALOX® BRAND, TYPE HT-O</t>
  </si>
  <si>
    <t xml:space="preserve">AQUARESIN® FRANKFURTER SPICE, NS </t>
  </si>
  <si>
    <t xml:space="preserve">SALES TOO LOW, GLOBALLY </t>
  </si>
  <si>
    <t xml:space="preserve">CONSIDER ALTERNATIVES </t>
  </si>
  <si>
    <t>63.30.01</t>
  </si>
  <si>
    <t>DURALOX® AQUARESIN® FRANKFURTER SEASONING, NS</t>
  </si>
  <si>
    <t>Discontinued since September 30, 2020</t>
  </si>
  <si>
    <t xml:space="preserve">NONE </t>
  </si>
  <si>
    <t>Discontinued since June 30, 2020</t>
  </si>
  <si>
    <t>22.00744</t>
  </si>
  <si>
    <t>Discontinued since November 19, 2020</t>
  </si>
  <si>
    <t>OLEORESIN PIZZA SPICE, NS (this is probably closer in flavor but is not water dispersible)</t>
  </si>
  <si>
    <t xml:space="preserve">22.537130 </t>
  </si>
  <si>
    <t>AQUARESIN® TIKKA SPICE NS</t>
  </si>
  <si>
    <t xml:space="preserve">	22.487047            </t>
  </si>
  <si>
    <t>AQUARESIN® TIKKA HOT SPICE, NS</t>
  </si>
  <si>
    <t xml:space="preserve">26.05 </t>
  </si>
  <si>
    <t xml:space="preserve">OIL OF BAY WONF </t>
  </si>
  <si>
    <t>26.10</t>
  </si>
  <si>
    <t xml:space="preserve">NATURAL BAY OIL WONF </t>
  </si>
  <si>
    <t xml:space="preserve">AQUARESIN® CURRY SPICE BLEND </t>
  </si>
  <si>
    <t xml:space="preserve">NO REASON INFORMED </t>
  </si>
  <si>
    <t xml:space="preserve">Deactiviated &amp; No Longer Available 
(Informed on March 30, 2021) </t>
  </si>
  <si>
    <t>22.29.023</t>
  </si>
  <si>
    <t xml:space="preserve">MEXICAN HOT CHOCHOLATE FLAVOR </t>
  </si>
  <si>
    <t xml:space="preserve">NO LONGER AVAILABLE. DEACTIVATED But if the project potential &gt; $US 20K/year , we can reactivate it for commercial production. </t>
  </si>
  <si>
    <t xml:space="preserve">22.29.024 </t>
  </si>
  <si>
    <t xml:space="preserve">OIL SOLUBLE (SAMPLE ONLY) 
OLEORESIN MEXICAN HOT CHOCOLATE BLEND </t>
  </si>
  <si>
    <t xml:space="preserve">Deactiviated &amp; No Longer Available 
(Informed on 2nd JUNE, 2021) </t>
  </si>
  <si>
    <t>22.91.003</t>
  </si>
  <si>
    <t xml:space="preserve">NATURAL CHOCOLATE TYPE FLAVOR </t>
  </si>
  <si>
    <t xml:space="preserve">this code has now been deactivated and no longer available.  </t>
  </si>
  <si>
    <t xml:space="preserve">Deactivated and no longer available 
(informed on 20th  Jan 2022) </t>
  </si>
  <si>
    <t xml:space="preserve">AQUARESIN® MEXICAN SEASONING, NS </t>
  </si>
  <si>
    <t xml:space="preserve">the code has low sales, Kalsec has planned to stop offering this product </t>
  </si>
  <si>
    <t xml:space="preserve">Stop Offering the product or seek the potential more than 1,000 KG annual uptake or more than $US 30,000 business value, the BU manager can consider to continue this product. </t>
  </si>
  <si>
    <t xml:space="preserve">Stop Offering or get the big business </t>
  </si>
  <si>
    <t>22.637010</t>
  </si>
  <si>
    <r>
      <t xml:space="preserve">AQUARESIN® TOM YAM SPICE BLEND </t>
    </r>
    <r>
      <rPr>
        <sz val="11"/>
        <color theme="1"/>
        <rFont val="Calibri"/>
        <family val="2"/>
        <scheme val="minor"/>
      </rPr>
      <t> </t>
    </r>
  </si>
  <si>
    <t xml:space="preserve">This code is discontinued (informed on 25th July 2022) </t>
  </si>
  <si>
    <t xml:space="preserve">Please offering the replacement </t>
  </si>
  <si>
    <t>This replacement contains Propylene Glycol (PG), Informed on 25th July 2022</t>
  </si>
  <si>
    <t>falls under our codes to be deactivated</t>
  </si>
  <si>
    <t>NATURAL ROASTED GARLIC FLAVOR</t>
  </si>
  <si>
    <t xml:space="preserve">31.56 more concentrate, update by Tze Hong on February 3, 2023 </t>
  </si>
  <si>
    <t xml:space="preserve">Date </t>
  </si>
  <si>
    <t xml:space="preserve">User </t>
  </si>
  <si>
    <t>Activity</t>
  </si>
  <si>
    <t>CODE</t>
  </si>
  <si>
    <t>DESCRIPTION</t>
  </si>
  <si>
    <t>FOR CUSTOMER</t>
  </si>
  <si>
    <t>REMARK</t>
  </si>
  <si>
    <t>NEWLY WEDS</t>
  </si>
  <si>
    <t>KELLOGG</t>
  </si>
  <si>
    <t>GRIFFITH</t>
  </si>
  <si>
    <t>KERRY</t>
  </si>
  <si>
    <t>UNILEVER</t>
  </si>
  <si>
    <t>MCCORMICK</t>
  </si>
  <si>
    <t xml:space="preserve">Record Log </t>
  </si>
  <si>
    <t xml:space="preserve">Activity </t>
  </si>
  <si>
    <t xml:space="preserve">Naddawan Jansri </t>
  </si>
  <si>
    <t xml:space="preserve">Add price 02.080.30 Griffith </t>
  </si>
  <si>
    <t xml:space="preserve">Add price 22.507162 Connell </t>
  </si>
  <si>
    <t>Add Price 22.39.239 McCormick</t>
  </si>
  <si>
    <t>Add Price 22.58.227 Win Chance</t>
  </si>
  <si>
    <t xml:space="preserve">Add Price 22.39.239 Taco Spices , McCormick </t>
  </si>
  <si>
    <t xml:space="preserve">Add Price 31.10.49 AQ Garlic NS, With Sunflower oil, Griffith </t>
  </si>
  <si>
    <t xml:space="preserve">Add Price 49.03 OR Carrot , Griffith </t>
  </si>
  <si>
    <t xml:space="preserve">Add Price 47.01 OR Basil, OR  Win Chance </t>
  </si>
  <si>
    <t>Add Price 41.19.10 OR Herbalox® Brand, Type HT-O, Griffith</t>
  </si>
  <si>
    <t>Add Price 02.100.36 Oleoresin Paprika , Newly Weds Food</t>
  </si>
  <si>
    <t>Add Price 02.080.34 Oleoresin Paprikia, 80,000, NS , Newly Weds Foods</t>
  </si>
  <si>
    <t xml:space="preserve">Add Price 02.080.30 Durabrite® Oleoresin Paprika, NS , Griffith </t>
  </si>
  <si>
    <t xml:space="preserve">Add Price 47.01 Oleoresin Basil, NS , McCormick </t>
  </si>
  <si>
    <t xml:space="preserve">Add Price 01.100.03.03 Capsicum African, Newly Weds Foods </t>
  </si>
  <si>
    <t xml:space="preserve">Add Price 33.02 Oleoresin Oregano, Food Coating International, Non-global </t>
  </si>
  <si>
    <t xml:space="preserve">Olaf extended the price 22.507162 Wasabi flavouring oil Soluble, NS for 1 time production </t>
  </si>
  <si>
    <t xml:space="preserve">Add Price 22.89.23 Gochujang Type Flavor - Natural </t>
  </si>
  <si>
    <t xml:space="preserve">Add Price22.39.163 Aquaresin® Cajun Spice, NS </t>
  </si>
  <si>
    <t xml:space="preserve">Add Price 22.037474 Aquaresin® Chorizo Spice, NS </t>
  </si>
  <si>
    <t xml:space="preserve">Add Price 41.19.25 Oleoresin Rosemary, Herbalox® Brand, Type HT-O, NS </t>
  </si>
  <si>
    <t>Add Price 41.098332 Oleoresin Rosemary, Herbalox® Brand, Type XT-W</t>
  </si>
  <si>
    <t>Add Price 41.19.49 Oleoresin Rosemary, Herbalx®, Brand, Type QS, NS</t>
  </si>
  <si>
    <t xml:space="preserve">Add Price 22.607011 Thai Roasted Chili , Special Offer to Sensient Technology Thailand,For the PO Starting from 16th July 2020 onward </t>
  </si>
  <si>
    <t>Patitta C.</t>
  </si>
  <si>
    <t xml:space="preserve">Add Price </t>
  </si>
  <si>
    <t>MINIMUM 100 KGS</t>
  </si>
  <si>
    <t>FOODS BLESSING</t>
  </si>
  <si>
    <t>ADD CUSTOMER NAME</t>
  </si>
  <si>
    <t>MONDE NISSIN, PV FOODS</t>
  </si>
  <si>
    <t>MINIMUM 100 KGS, SAME PRICE AND EXPIRY DATE WITH MONDE NISSIN</t>
  </si>
  <si>
    <t>CPF</t>
  </si>
  <si>
    <t xml:space="preserve">OLEORESIN CILANTRO , TYPE C </t>
  </si>
  <si>
    <t xml:space="preserve">UNILEVER </t>
  </si>
  <si>
    <t xml:space="preserve">MINIMUM 100 KGS </t>
  </si>
  <si>
    <t xml:space="preserve">GOCHUJANG  TYPE FLAVOR - NATURAL </t>
  </si>
  <si>
    <t xml:space="preserve">OLEORESIN CAPSICUM, African,  NS, Batch 1013377 </t>
  </si>
  <si>
    <t>NEWLY WEDS FOODS</t>
  </si>
  <si>
    <t xml:space="preserve">Sensient Technology </t>
  </si>
  <si>
    <t>Kewpie</t>
  </si>
  <si>
    <t>Food Coating International</t>
  </si>
  <si>
    <t>Win Chance</t>
  </si>
  <si>
    <t>MINIMUM 100 KGS, SAME PRICE AND EXPIRY DATE</t>
  </si>
  <si>
    <t>OISHI</t>
  </si>
  <si>
    <t>WFF</t>
  </si>
  <si>
    <t>ISA VALUE</t>
  </si>
  <si>
    <t>Thai Union Manufacturing</t>
  </si>
  <si>
    <t>URMATT</t>
  </si>
  <si>
    <t>R&amp;B food Supply</t>
  </si>
  <si>
    <t>Sensient Technology</t>
  </si>
  <si>
    <t>NamChow</t>
  </si>
  <si>
    <t>McCormick, Food Coating International</t>
  </si>
  <si>
    <t>Newly Weds Foods</t>
  </si>
  <si>
    <t>Monde Nissin</t>
  </si>
  <si>
    <t>Column1</t>
  </si>
  <si>
    <t>Column2</t>
  </si>
  <si>
    <t>UPPERCASE</t>
  </si>
  <si>
    <t xml:space="preserve">OIL OF LEMON, SINGLE STRENGTH                               </t>
  </si>
  <si>
    <t>Active</t>
  </si>
  <si>
    <t>22.55.078</t>
  </si>
  <si>
    <t>natural pickled Jalapeno Type flavor</t>
  </si>
  <si>
    <t>Kalmazoo oriiginal lead-time 8-11 weeks</t>
  </si>
  <si>
    <t>Vegetone rich Red T2</t>
  </si>
  <si>
    <t>11.01</t>
  </si>
  <si>
    <t>oil of Dillweed, prime</t>
  </si>
  <si>
    <t>11.02.49</t>
  </si>
  <si>
    <t>Aquaresin dillweed</t>
  </si>
  <si>
    <t>quoted on 15 Jan 25</t>
  </si>
  <si>
    <t>56.02</t>
  </si>
  <si>
    <t>OIL OF FENNEL</t>
  </si>
  <si>
    <t>70.497016</t>
  </si>
  <si>
    <t>SHALLOT OIL SOLUBLE, NS</t>
  </si>
  <si>
    <t xml:space="preserve">OLEORESIN CAPSICUM, AFRICAN, NS                             </t>
  </si>
  <si>
    <t xml:space="preserve">OLEORESIN BLACK PEPPER                                      </t>
  </si>
  <si>
    <t xml:space="preserve">AQUARESIN® CLOVE, NS                                        </t>
  </si>
  <si>
    <t xml:space="preserve">OLEORESIN SAGE, DALMATIAN, NS                               </t>
  </si>
  <si>
    <t xml:space="preserve">OLEORESIN SAGE, NS                                          </t>
  </si>
  <si>
    <t xml:space="preserve">OLEORESIN CELERY, SWEET                                     </t>
  </si>
  <si>
    <t xml:space="preserve">SIMPLY AQUARESIN™ TURMERIC G-1                              </t>
  </si>
  <si>
    <t xml:space="preserve">OLEORESIN GINGER                                            </t>
  </si>
  <si>
    <t xml:space="preserve">SUPER SOLUBLE GREEN GINGER                                  </t>
  </si>
  <si>
    <t xml:space="preserve">OIL OF GINGER                                               </t>
  </si>
  <si>
    <t xml:space="preserve">OLEORESIN MACE                                              </t>
  </si>
  <si>
    <t>AQ ROSEMARY NS 19-06-39</t>
  </si>
  <si>
    <t xml:space="preserve">AQUARESIN® ITALIAN SPICE, NS                                </t>
  </si>
  <si>
    <t xml:space="preserve">ZERO DEGREES® HABANERO WONF, OS                             </t>
  </si>
  <si>
    <t xml:space="preserve">HABANERO PEPPER FLAVOR WONF                                 </t>
  </si>
  <si>
    <t xml:space="preserve">OLEORESIN CHILI SPICE, NO HEAT, NS                          </t>
  </si>
  <si>
    <t xml:space="preserve">OLEORESIN CHILI SPICE, HOT, NS                              </t>
  </si>
  <si>
    <t xml:space="preserve">AQUARESIN® TERIYAKI SPICE, NS                               </t>
  </si>
  <si>
    <t xml:space="preserve">AQUARESIN® CAJUN SPICE, NS                                  </t>
  </si>
  <si>
    <t xml:space="preserve">OLEORESIN CHILI SPICE, NS                                   </t>
  </si>
  <si>
    <t xml:space="preserve">AQUARESIN® TANDOORI SPICE, NS                               </t>
  </si>
  <si>
    <t xml:space="preserve">KIMCHI SPICE, O/S                                           </t>
  </si>
  <si>
    <t xml:space="preserve">GREEN BELL PEPPER FLAVOR WONF                               </t>
  </si>
  <si>
    <t>OLEORESIN BBQ GRILL SPICE WITH SMOKE W/D, NS</t>
  </si>
  <si>
    <t xml:space="preserve">THAI ROASTED CHILI SPICE BLEND                              </t>
  </si>
  <si>
    <t xml:space="preserve">Natural Kimchi Spice Type Flavor                            </t>
  </si>
  <si>
    <t xml:space="preserve">OLEORESIN ALLSPICE, NS                                      </t>
  </si>
  <si>
    <t xml:space="preserve">OLEORESIN CINNAMON                                          </t>
  </si>
  <si>
    <t xml:space="preserve">NATURAL SMOKED GARLIC TYPE FLAVOR                           </t>
  </si>
  <si>
    <t xml:space="preserve">AQUARESIN® THYME, NS                                        </t>
  </si>
  <si>
    <t xml:space="preserve">ACID PROOF ANNATTO, TYPENG                                  </t>
  </si>
  <si>
    <t xml:space="preserve">THAI GARLIC REPLACER                                        </t>
  </si>
  <si>
    <t xml:space="preserve">OLEORESIN MARJORAM, NS                                      </t>
  </si>
  <si>
    <t xml:space="preserve">OLEORESIN CUMIN                                             </t>
  </si>
  <si>
    <t>OLEORESIN ROSEMARY, HERBALOX® BRAND, TYPE  XT-W</t>
  </si>
  <si>
    <t xml:space="preserve">OLEORESIN ROSEMARY, HERBALOX® BRAND, TYPE O, NS             </t>
  </si>
  <si>
    <t>OLEORESIN ROSEMARY, HERBALOX® BRAND</t>
  </si>
  <si>
    <t xml:space="preserve">OLEORESIN WHITE PEPPER                                      </t>
  </si>
  <si>
    <t>DURABRITE® OLEORESIN CARROT, 2%</t>
  </si>
  <si>
    <t xml:space="preserve">NATURAL ROASTED ONION TYPE FLAVOR                           </t>
  </si>
  <si>
    <t>NATURAL CARAMELIZED ONION FLAVOR WONF</t>
  </si>
  <si>
    <t xml:space="preserve">ONION, OIL SOLUBLE, NS                                      </t>
  </si>
  <si>
    <t xml:space="preserve">GREEN ONION, OIL SOLUBLE, NS                                </t>
  </si>
  <si>
    <t xml:space="preserve">CHIPOTLE [SMOKED PEPPER]FLAVOR                              </t>
  </si>
  <si>
    <t xml:space="preserve">OLEORESIN MUSTARD, NS                                       </t>
  </si>
  <si>
    <t xml:space="preserve">AQUARESIN® ONION, NS                                        </t>
  </si>
  <si>
    <t xml:space="preserve">COPPER CHLOROPHYLLIN W/S-100                                </t>
  </si>
  <si>
    <t xml:space="preserve">OLEORESIN HABANERO PEPPER, EXPELLER PRESSED                 </t>
  </si>
  <si>
    <t xml:space="preserve">OLEORESIN JALAPENO PEPPEREXTRACT, HOT, NS                   </t>
  </si>
  <si>
    <t xml:space="preserve">DURALOX® AQUARESIN® BOLOGNA SEASONING, NS                   </t>
  </si>
  <si>
    <t xml:space="preserve">Natural Fried Shallot Type Flavor                           </t>
  </si>
  <si>
    <t>GOOD TO GO 2025 - Contract</t>
  </si>
  <si>
    <t>Contract 2025</t>
  </si>
  <si>
    <t>quoted on 11 Jan 25</t>
  </si>
  <si>
    <t>Contract 2025 - volume 3,026 ETD within Sep 2025 / surcharge at 49 USD/kg if not meet contract and over due ETD Sep</t>
  </si>
  <si>
    <t>30th March ETD - product produce from USA plant</t>
  </si>
  <si>
    <t>GOOD TO GO 2025 - Contract discount 3.5% start supply by 5th march – produce by SG plant</t>
  </si>
  <si>
    <t>GOOD TO GO 2025 - price increase 15% start supply by 30th March from ETD produce by USA</t>
  </si>
  <si>
    <t xml:space="preserve">Effective order start supplies by 30th march - ETD for product produce by USA plant </t>
  </si>
  <si>
    <t xml:space="preserve">OIL OF SAGE, DALMATIAN                                      </t>
  </si>
  <si>
    <t>EXW Singapore</t>
  </si>
  <si>
    <t>22.89.15</t>
  </si>
  <si>
    <t xml:space="preserve">MAPLE TYPE FLAVOR - NATURAL OS                              </t>
  </si>
  <si>
    <t xml:space="preserve">THAI GARLIC AND CORIANDER ROOT TYPE BLEND                   </t>
  </si>
  <si>
    <t>EXW SENOKO SINGAPORE</t>
  </si>
  <si>
    <t>51.097520</t>
  </si>
  <si>
    <t xml:space="preserve">NATURAL SAUTEE SWEET ONION </t>
  </si>
  <si>
    <t>DURALOX BLEND NV3</t>
  </si>
  <si>
    <t>EXW SENOKO SINGAPORE / PRODUCTION USA KALANAZOO</t>
  </si>
  <si>
    <t>66.100.001</t>
  </si>
  <si>
    <t>VEGETONE YELLOW OS</t>
  </si>
  <si>
    <t>NATURAL SHALLOT FLAVOR WONF</t>
  </si>
  <si>
    <t>OLEORESIN CLOVE</t>
  </si>
  <si>
    <t>VEGETON ANTOHO RED 3-1</t>
  </si>
  <si>
    <t xml:space="preserve">EXW SENOKO SINGAPORE </t>
  </si>
  <si>
    <t>AQUARESIN JAPANESE CURRY</t>
  </si>
  <si>
    <t xml:space="preserve">NATURAL FRIED SHALLOT </t>
  </si>
  <si>
    <t>EXW SENOKO SINGAPORE / LT 6-8 WEEKS</t>
  </si>
  <si>
    <t>EXW SENOKO SINGAPORE / DG Good class 3</t>
  </si>
  <si>
    <t>OLEORESIN JAPAPENO PEPPER EXTRACT MILD</t>
  </si>
  <si>
    <t>61,05</t>
  </si>
  <si>
    <t>EXW Singapore - FIRST QUOED AND HAVE PRICE REDUTION FOR 44.70/15KG PACK</t>
  </si>
  <si>
    <t>55.005.03.01</t>
  </si>
  <si>
    <t>INACTIVE</t>
  </si>
  <si>
    <t>AQ Garlic NS 31.10.39 SG</t>
  </si>
  <si>
    <t>OR CAP AFRICAN NS 01.473003 SG</t>
  </si>
  <si>
    <t>OR Capsicum NS 01.100.20.03 SG</t>
  </si>
  <si>
    <t>Garlic Oil 80X NS 31.22 SG</t>
  </si>
  <si>
    <t>Fried Garlic Conc 31.08.01 SG</t>
  </si>
  <si>
    <t>Garlic O/S NS 31.08 SG</t>
  </si>
  <si>
    <t>AQ Tabasco NS 01.010.00.39 SG</t>
  </si>
  <si>
    <t>OR Capsicum NS 01.100.00.03 SG</t>
  </si>
  <si>
    <t>OR CAP Afri NS 01.100.03.03 SG</t>
  </si>
  <si>
    <t>CLEARCAP SUPER 01.025.00.06 SG</t>
  </si>
  <si>
    <t>AQ Capsicum NS 01.050.00.39 SG</t>
  </si>
  <si>
    <t>Clearcap Super 01.050.00.06 SG</t>
  </si>
  <si>
    <t>Durabrite Paprika 02.080.30 SG</t>
  </si>
  <si>
    <t>AQ Paprika NS 02.040.39 SG</t>
  </si>
  <si>
    <t>Turmeric in Canola12.100.28 SG</t>
  </si>
  <si>
    <t>Kalsec Produce by SG plant</t>
  </si>
  <si>
    <t>30  Sep 25</t>
  </si>
  <si>
    <t>L/T 6-8 weeks</t>
  </si>
  <si>
    <t xml:space="preserve">CARMINE LIQUID </t>
  </si>
  <si>
    <t xml:space="preserve">44.91.033 </t>
  </si>
  <si>
    <t>Incoterms: EXW Singapore
Product origin: made in USA</t>
  </si>
  <si>
    <t>Incoterms: EXW Singapore
Product origin: made in Singapore</t>
  </si>
  <si>
    <t xml:space="preserve"> valid until 31st Dec 2025.</t>
  </si>
  <si>
    <t>OLEORESIN ROSEMARY, HERBALOX BRAND XT-O 41.19.58</t>
  </si>
  <si>
    <t>Natural Paprika Flaovr</t>
  </si>
  <si>
    <t>cONNELL</t>
  </si>
  <si>
    <t>6-8 weeks</t>
  </si>
  <si>
    <t xml:space="preserve">51.25 </t>
  </si>
  <si>
    <t xml:space="preserve">ONION CONCENTRATE NS                        </t>
  </si>
  <si>
    <t>ISOFRESH BASIL</t>
  </si>
  <si>
    <t>OLEORESIN CLOVE NS</t>
  </si>
  <si>
    <t>CONNELL /Griffith quote on 6 Feb 2025</t>
  </si>
  <si>
    <t>CONNELL /quoted on 6 Mar 25</t>
  </si>
  <si>
    <r>
      <t>5</t>
    </r>
    <r>
      <rPr>
        <vertAlign val="superscript"/>
        <sz val="9"/>
        <color theme="1"/>
        <rFont val="Calibri"/>
        <family val="2"/>
      </rPr>
      <t>th</t>
    </r>
    <r>
      <rPr>
        <sz val="9"/>
        <color theme="1"/>
        <rFont val="Calibri"/>
        <family val="2"/>
      </rPr>
      <t xml:space="preserve"> March - end Dec 2025 - Effective order produce by Singapore plant</t>
    </r>
  </si>
  <si>
    <t>GOOD TO GO 2025 - Spelical promotion only</t>
  </si>
  <si>
    <t>the quotation will effect from 30th May 2025 till 31st Dec 2025, but I will need your commitment to confirm the switch of origin by 29th May</t>
  </si>
  <si>
    <t>Special price for switch from US to SG plant</t>
  </si>
  <si>
    <t>quoted on 2 May 25</t>
  </si>
  <si>
    <t>22.29.192</t>
  </si>
  <si>
    <t xml:space="preserve">OLEORESIN GARAM MASALA,NS                                                       </t>
  </si>
  <si>
    <t>quoted on 29 May 25</t>
  </si>
  <si>
    <t>Special price for switch from US to SG plant. Contract 2025</t>
  </si>
  <si>
    <t>47.03P</t>
  </si>
  <si>
    <t>OIL OF BASIL, SWEET</t>
  </si>
  <si>
    <t>62.225.05</t>
  </si>
  <si>
    <t>DURALOX® BLEND QST-25, NS</t>
  </si>
  <si>
    <t>EXW Singapore, The pack size of this item is only in 11.34kg.</t>
  </si>
  <si>
    <t>PRICE PER KG IN USD (15 KG &amp; 30 KG Drum &amp; Others) powder</t>
  </si>
  <si>
    <t>Ordering lead time of this product (air freight from US to SG// fresh stocks) is 12 weeks</t>
  </si>
  <si>
    <t xml:space="preserve">22.01.106 </t>
  </si>
  <si>
    <t xml:space="preserve">Fermented Red Pepper WONF OS </t>
  </si>
  <si>
    <t xml:space="preserve">49.29 </t>
  </si>
  <si>
    <t>Ordering lead time is 6-7 weeks via air freight upon receiving your PO. Product is made in Kalamazoo, USA</t>
  </si>
  <si>
    <t>48.517141</t>
  </si>
  <si>
    <t>AQUARESIN® OIL OF LIME, NS</t>
  </si>
  <si>
    <t xml:space="preserve">AQUARESIN® OIL OF LIME, NS                                  </t>
  </si>
  <si>
    <t>Do note that this is a DG Good class 9 products, Kalsec would recommend you to sell 3.4kg pack size (so that it could ship under normal goods condition) as pack size &gt;5kg would be extremely expensive.L/T 8-11 weeks.</t>
  </si>
  <si>
    <t>L/T 8-10 weeks.</t>
  </si>
  <si>
    <t>L/T 6-8 weeks.</t>
  </si>
  <si>
    <t>22.01.106</t>
  </si>
  <si>
    <t>Fermented Red Pepper WONF OS</t>
  </si>
  <si>
    <t xml:space="preserve">L/T 8-10 weeks </t>
  </si>
  <si>
    <t>quoted on 11 Jan 25 at $27.6/kg  (pack 15 kg) and $33.6/kg  (pack 3.4 kg),
revised price on 5 Aug at $23/kg (pack 15 kg) and $29/kg (pack 3.4 kg)</t>
  </si>
  <si>
    <t>GOOD TO GO 2025 - Contract - Revise</t>
  </si>
  <si>
    <t xml:space="preserve">NATURAL ROASTED GARLIC FLAVOR WONF </t>
  </si>
  <si>
    <t xml:space="preserve">OLEORESIN ROSEMARY, HERBALOX® BRAND, TYPE HT-O, NS </t>
  </si>
  <si>
    <t>PRODUCT ORIGIN USA KALAMAZOO</t>
  </si>
  <si>
    <t>EXW SENOKO</t>
  </si>
  <si>
    <t>PRODUCT ORIGIN SINGAPORE SENOKO</t>
  </si>
  <si>
    <t>PURIFIED SOLUBLE TURMERIC, NS</t>
  </si>
  <si>
    <t>12.080.37</t>
  </si>
  <si>
    <t>L/T 6-8 weeks upon recevied PO. Kalamazoo production</t>
  </si>
  <si>
    <t>Vegetone® Beta Carotene WSP</t>
  </si>
  <si>
    <t xml:space="preserve">66.010.001.200 </t>
  </si>
  <si>
    <t>L/T 6-8 weeks. Packing 10 kg BIB</t>
  </si>
  <si>
    <t>22.01.096</t>
  </si>
  <si>
    <t xml:space="preserve">Natural Chili Crisp Type Flavor                             </t>
  </si>
  <si>
    <t>6-8 weeks upon receive your PO</t>
  </si>
  <si>
    <t>62.200.02</t>
  </si>
  <si>
    <t>DURALOX BLEND RT-50</t>
  </si>
  <si>
    <t>AQUARESIN® BARBEQUE SPICE, NS</t>
  </si>
  <si>
    <t xml:space="preserve"> 22.01.101   </t>
  </si>
  <si>
    <t>L/T 8-10 weeks upon receiving of your order. Price validity from 31st Oct 2025 till 30th September 2026.</t>
  </si>
  <si>
    <t>12.050.19</t>
  </si>
  <si>
    <t xml:space="preserve">Aquaresin Turmeric </t>
  </si>
  <si>
    <t xml:space="preserve">L/T 6-8 weeks upon receiving of your order. Price validity from 31st Oct 2025 till 30th September 2026. </t>
  </si>
  <si>
    <t>66.010.005</t>
  </si>
  <si>
    <t>Vegetone Yellow WS</t>
  </si>
  <si>
    <t xml:space="preserve">L/T 6-8 weeks upon receiving of your order. </t>
  </si>
  <si>
    <t>Duralox Aquaresin Pesto Seasoning, NS</t>
  </si>
  <si>
    <t>L/T 6-8 weeks upon receiving of your order. Kalamazoo production</t>
  </si>
  <si>
    <t>Oleoresin Basil, NS</t>
  </si>
  <si>
    <t>Basil Flavor, Thai Holy Type</t>
  </si>
  <si>
    <t>Oleoresin Thyme, NS</t>
  </si>
  <si>
    <t>AQUARESIN® CAJUN SPICE, NS</t>
  </si>
  <si>
    <t>Natural Kimchi Spice Type Flavor</t>
  </si>
  <si>
    <t>CALDIC_THAILAND</t>
  </si>
  <si>
    <t>OLEORESIN HABANERO PEPPER, EXPELLER PRESESED</t>
  </si>
  <si>
    <t>OLEORESIN CAYENNE PEPPER, EXPELLER PRESESED</t>
  </si>
  <si>
    <t>6-8 weeks upon receipt of your PO / UPDATED ON 11 DEC 25</t>
  </si>
  <si>
    <t>41-098332</t>
  </si>
  <si>
    <t>HERBALOX XT-W</t>
  </si>
  <si>
    <t>6-8 weeks upon receive your purchase order./Updated on 29 Oct 25</t>
  </si>
  <si>
    <t>GOOD TO GO 2026 - Contract</t>
  </si>
  <si>
    <t>This is a DG good class 9 product.Sell this item @ 3.4KG pack size only, as &gt;5kg the product will have to ship at DG freight.</t>
  </si>
  <si>
    <t xml:space="preserve">62.150.34 </t>
  </si>
  <si>
    <t xml:space="preserve">DURALOX A AN-110 XT,NS </t>
  </si>
  <si>
    <t>Lead time of 6-8 weeks upon receive your official PO</t>
  </si>
  <si>
    <t xml:space="preserve"> Limited supply.Need 4 months of advance notice</t>
  </si>
  <si>
    <t xml:space="preserve">01.031.00.506 </t>
  </si>
  <si>
    <t>CLEARCAP SUPER SOLUBLE CAPSICUM</t>
  </si>
  <si>
    <t>lead time is 6-8 weeks upon receive of your purchase order</t>
  </si>
  <si>
    <t>GOOD TO GO 2026</t>
  </si>
  <si>
    <t xml:space="preserve">GOOD TO GO 2026 </t>
  </si>
  <si>
    <t xml:space="preserve">GOOD TO GO 2025 </t>
  </si>
  <si>
    <t>Contract price 2026</t>
  </si>
  <si>
    <t>&lt;500KG/ Year, 6-8 weeks upon receive of your PO. Kalamazoo production</t>
  </si>
  <si>
    <t>EXW Singapore, DG class 3</t>
  </si>
  <si>
    <t>&lt;100KG/ Year, 6-8 weeks upon receive of your PO. Kalamazoo production</t>
  </si>
  <si>
    <t>OLEORESIN CAPSICUM, AFRICAN, NS                             </t>
  </si>
  <si>
    <t>        37.00</t>
  </si>
  <si>
    <t>        43.00</t>
  </si>
  <si>
    <t>Ex Work, Kalsec Singapore</t>
  </si>
  <si>
    <t>SG Production, 20 working days</t>
  </si>
  <si>
    <t>        47.50</t>
  </si>
  <si>
    <t>        53.50</t>
  </si>
  <si>
    <t>OLEORESIN BLACK PEPPER                                      </t>
  </si>
  <si>
    <t>        86.00</t>
  </si>
  <si>
    <t>        92.00</t>
  </si>
  <si>
    <t>      130.00</t>
  </si>
  <si>
    <t>      136.00</t>
  </si>
  <si>
    <t>6-8 weeks upon receive your PO. Kalamazoo production.</t>
  </si>
  <si>
    <t>        77.30</t>
  </si>
  <si>
    <t>        83.30</t>
  </si>
  <si>
    <t>AQUARESIN® CLOVE, NS                                        </t>
  </si>
  <si>
    <t>        62.31</t>
  </si>
  <si>
    <t>        68.31</t>
  </si>
  <si>
    <t>OLEORESIN SAGE, DALMATIAN, NS                               </t>
  </si>
  <si>
    <t>        62.00</t>
  </si>
  <si>
    <t>        68.00</t>
  </si>
  <si>
    <t>OLEORESIN SAGE, NS                                          </t>
  </si>
  <si>
    <t>      101.45</t>
  </si>
  <si>
    <t>      107.45</t>
  </si>
  <si>
    <t>OLEORESIN CELERY, SWEET                                     </t>
  </si>
  <si>
    <t>        54.65</t>
  </si>
  <si>
    <t>        60.65</t>
  </si>
  <si>
    <t>OLEORESIN GINGER                                            </t>
  </si>
  <si>
    <t>      144.50</t>
  </si>
  <si>
    <t>      150.50</t>
  </si>
  <si>
    <t>SUPER SOLUBLE GREEN GINGER                                  </t>
  </si>
  <si>
    <t>      113.50</t>
  </si>
  <si>
    <t>      119.50</t>
  </si>
  <si>
    <t>OIL OF GINGER                                               </t>
  </si>
  <si>
    <t>      166.50</t>
  </si>
  <si>
    <t>      172.50</t>
  </si>
  <si>
    <t>OLEORESIN MACE                                              </t>
  </si>
  <si>
    <t>      113.00</t>
  </si>
  <si>
    <t>      119.00</t>
  </si>
  <si>
    <t>AQUARESIN® ITALIAN SPICE, NS                                </t>
  </si>
  <si>
    <t>        72.00</t>
  </si>
  <si>
    <t>        78.00</t>
  </si>
  <si>
    <t>        44.20</t>
  </si>
  <si>
    <t>        50.20</t>
  </si>
  <si>
    <t>ZERO DEGREES® HABANERO WONF, OS                             </t>
  </si>
  <si>
    <t>        55.45</t>
  </si>
  <si>
    <t>        61.45</t>
  </si>
  <si>
    <t>OLEORESIN ALLSPICE, NS                                      </t>
  </si>
  <si>
    <t>      223.65</t>
  </si>
  <si>
    <t>      229.65</t>
  </si>
  <si>
    <t>OLEORESIN CINNAMON                                          </t>
  </si>
  <si>
    <t>      142.00</t>
  </si>
  <si>
    <t>      148.00</t>
  </si>
  <si>
    <t>        32.00</t>
  </si>
  <si>
    <t>        38.00</t>
  </si>
  <si>
    <t>20 working days, SG production</t>
  </si>
  <si>
    <t>NATURAL SMOKED GARLIC TYPE FLAVOR                           </t>
  </si>
  <si>
    <t>        39.90</t>
  </si>
  <si>
    <t>        45.90</t>
  </si>
  <si>
    <t>        36.00</t>
  </si>
  <si>
    <t>        42.00</t>
  </si>
  <si>
    <t>GARLIC, OIL SOLUBLE, 80X, NS                                </t>
  </si>
  <si>
    <t>        46.05</t>
  </si>
  <si>
    <t>        52.05</t>
  </si>
  <si>
    <t>THAI GARLIC REPLACER                                        </t>
  </si>
  <si>
    <t>        50.35</t>
  </si>
  <si>
    <t>        56.35</t>
  </si>
  <si>
    <t>OLEORESIN CUMIN                                             </t>
  </si>
  <si>
    <t>      119.30</t>
  </si>
  <si>
    <t>      125.30</t>
  </si>
  <si>
    <t>      134.00</t>
  </si>
  <si>
    <t>      140.00</t>
  </si>
  <si>
    <t>ONION, OIL SOLUBLE, NS                                      </t>
  </si>
  <si>
    <t>        48.00</t>
  </si>
  <si>
    <t>        54.00</t>
  </si>
  <si>
    <t>CHIPOTLE [SMOKED PEPPER]FLAVOR                              </t>
  </si>
  <si>
    <t>        48.55</t>
  </si>
  <si>
    <t>        54.55</t>
  </si>
  <si>
    <t>        25.00</t>
  </si>
  <si>
    <t>        31.00</t>
  </si>
  <si>
    <t>Natural Fried Shallot Type Flavor                           </t>
  </si>
  <si>
    <t>SIMPLY AQUARESIN™ TURMERIC G-1                              </t>
  </si>
  <si>
    <t>        33.28</t>
  </si>
  <si>
    <t>        39.28</t>
  </si>
  <si>
    <t>        45.00</t>
  </si>
  <si>
    <t>        51.00</t>
  </si>
  <si>
    <t>HABANERO PEPPER FLAVOR WONF                                 </t>
  </si>
  <si>
    <t>OLEORESIN CHILI SPICE, NO HEAT, NS                          </t>
  </si>
  <si>
    <t>        33.00</t>
  </si>
  <si>
    <t>        39.00</t>
  </si>
  <si>
    <t>        34.95</t>
  </si>
  <si>
    <t>        40.95</t>
  </si>
  <si>
    <t>OLEORESIN CHILI SPICE, HOT, NS                              </t>
  </si>
  <si>
    <t>AQUARESIN® TERIYAKI SPICE, NS                               </t>
  </si>
  <si>
    <t>        60.70</t>
  </si>
  <si>
    <t>        66.70</t>
  </si>
  <si>
    <t>AQUARESIN® TANDOORI SPICE, NS                               </t>
  </si>
  <si>
    <t>        67.50</t>
  </si>
  <si>
    <t>        73.50</t>
  </si>
  <si>
    <t>        98.00</t>
  </si>
  <si>
    <t>KIMCHI SPICE, O/S                                           </t>
  </si>
  <si>
    <t>        49.00</t>
  </si>
  <si>
    <t>GREEN BELL PEPPER FLAVOR WONF                               </t>
  </si>
  <si>
    <t>        65.80</t>
  </si>
  <si>
    <t>        71.80</t>
  </si>
  <si>
    <t>AQUARESIN® THYME, NS                                        </t>
  </si>
  <si>
    <t>      144.00</t>
  </si>
  <si>
    <t>      150.00</t>
  </si>
  <si>
    <t>ACID PROOF ANNATTO, TYPENG                                  </t>
  </si>
  <si>
    <t>OLEORESIN ROSEMARY, HERBALOX® BRAND, TYPE O, NS             </t>
  </si>
  <si>
    <t>        80.64</t>
  </si>
  <si>
    <t>        86.64</t>
  </si>
  <si>
    <t>AQUARESIN® ONION, NS                                        </t>
  </si>
  <si>
    <t>        44.00</t>
  </si>
  <si>
    <t>        50.00</t>
  </si>
  <si>
    <t>DURALOX® AQUARESIN® BOLOGNA SEASONING, NS                   </t>
  </si>
  <si>
    <t>        38.40</t>
  </si>
  <si>
    <t>        44.40</t>
  </si>
  <si>
    <t>Deactivated</t>
  </si>
  <si>
    <t>Natural Toasted Serrano Pepper</t>
  </si>
  <si>
    <t xml:space="preserve">55.006.00.603 </t>
  </si>
  <si>
    <t xml:space="preserve">OLEORESIN SERRANO EXPELLER PRESSED </t>
  </si>
  <si>
    <t>CLEARCAP® GHOST PEPPER EXTRACT                             </t>
  </si>
  <si>
    <t>OIL OF SAGE, DALMATIAN                                     </t>
  </si>
  <si>
    <t>THAI GARLIC AND CORIANDER ROOT TYPE BLEND                  </t>
  </si>
  <si>
    <t>SOLUBLE KAFFIR LIME LEAF, NS                               </t>
  </si>
  <si>
    <t>OIL OF LEMON, SINGLE STRENGTH                              </t>
  </si>
  <si>
    <t>AQUARESIN® OIL OF LIME, NS                                 </t>
  </si>
  <si>
    <t> AQUARESIN® OIL OF LIME, NS</t>
  </si>
  <si>
    <t>NATURAL SAUTEE SWEET ONION</t>
  </si>
  <si>
    <t>ONION CONCENTRATE NS                       </t>
  </si>
  <si>
    <t>Natural Chili Crisp Type Flavor                            </t>
  </si>
  <si>
    <t> Fermented Red Pepper WONF OS </t>
  </si>
  <si>
    <t>OLEORESIN GARAM MASALA,NS                                                      </t>
  </si>
  <si>
    <t>MAPLE TYPE FLAVOR - NATURAL OS                             </t>
  </si>
  <si>
    <t>NATURAL FRIED SHALLOT</t>
  </si>
  <si>
    <t>66.010.001.200</t>
  </si>
  <si>
    <t>                                31.00</t>
  </si>
  <si>
    <t>                                                   37.00</t>
  </si>
  <si>
    <t>                                44.00</t>
  </si>
  <si>
    <t>                                                   50.00</t>
  </si>
  <si>
    <t>                                52.00</t>
  </si>
  <si>
    <t>                                                   58.00</t>
  </si>
  <si>
    <t>                              102.00</t>
  </si>
  <si>
    <t>                                                108.00</t>
  </si>
  <si>
    <t>                              225.00</t>
  </si>
  <si>
    <t>                                                231.00</t>
  </si>
  <si>
    <t>                                70.00</t>
  </si>
  <si>
    <t>                                                   76.00</t>
  </si>
  <si>
    <t>                                46.00</t>
  </si>
  <si>
    <t>                                                   52.00</t>
  </si>
  <si>
    <t>                              110.00</t>
  </si>
  <si>
    <t>                                                116.00</t>
  </si>
  <si>
    <t>                                54.00</t>
  </si>
  <si>
    <t>                                                   60.00</t>
  </si>
  <si>
    <t>                                57.00</t>
  </si>
  <si>
    <t>                                                   63.00</t>
  </si>
  <si>
    <t>                              150.00</t>
  </si>
  <si>
    <t>                                                156.00</t>
  </si>
  <si>
    <t>                                90.00</t>
  </si>
  <si>
    <t>                                                   96.00</t>
  </si>
  <si>
    <t>                                33.00</t>
  </si>
  <si>
    <t>                                                   39.00</t>
  </si>
  <si>
    <t>                              115.00</t>
  </si>
  <si>
    <t>                                                121.00</t>
  </si>
  <si>
    <t>                                29.00</t>
  </si>
  <si>
    <t>                                                   35.00</t>
  </si>
  <si>
    <t>                                59.00</t>
  </si>
  <si>
    <t>                                                   65.00</t>
  </si>
  <si>
    <t>                                43.00</t>
  </si>
  <si>
    <t>                                                   49.00</t>
  </si>
  <si>
    <t>                                86.00</t>
  </si>
  <si>
    <t>                                                   92.00</t>
  </si>
  <si>
    <t>                                34.00</t>
  </si>
  <si>
    <t>                                                   40.00</t>
  </si>
  <si>
    <t>                              138.00</t>
  </si>
  <si>
    <t>                                                144.00</t>
  </si>
  <si>
    <t>                              133.00</t>
  </si>
  <si>
    <t>                                                139.00</t>
  </si>
  <si>
    <t>                                61.00</t>
  </si>
  <si>
    <t>                                                   67.00</t>
  </si>
  <si>
    <t>                                87.00</t>
  </si>
  <si>
    <t>                                                   93.00</t>
  </si>
  <si>
    <t>                              268.00</t>
  </si>
  <si>
    <t>                                                274.00</t>
  </si>
  <si>
    <t>                                56.00</t>
  </si>
  <si>
    <t>                                                   62.00</t>
  </si>
  <si>
    <t>                                57.00</t>
  </si>
  <si>
    <t>                                42.00</t>
  </si>
  <si>
    <t>                                                   48.00</t>
  </si>
  <si>
    <t>                                50.00</t>
  </si>
  <si>
    <t>                                                   56.00</t>
  </si>
  <si>
    <t>                                32.00</t>
  </si>
  <si>
    <t>                                                   38.00</t>
  </si>
  <si>
    <t>                                45.00</t>
  </si>
  <si>
    <t>                                                   51.00</t>
  </si>
  <si>
    <t>                                37.00</t>
  </si>
  <si>
    <t>                                                   43.00</t>
  </si>
  <si>
    <t>                                48.00</t>
  </si>
  <si>
    <t>                                                   54.00</t>
  </si>
  <si>
    <t>                                48.00</t>
  </si>
  <si>
    <t>                                60.00</t>
  </si>
  <si>
    <t>                                                   66.00</t>
  </si>
  <si>
    <t>                                67.00</t>
  </si>
  <si>
    <t>                                                   73.00</t>
  </si>
  <si>
    <t>                                50.05</t>
  </si>
  <si>
    <t>                                                   56.05</t>
  </si>
  <si>
    <t>                                50.05</t>
  </si>
  <si>
    <t>                              153.00</t>
  </si>
  <si>
    <t>                                                159.00</t>
  </si>
  <si>
    <t>                                41.00</t>
  </si>
  <si>
    <t>                                                   47.00</t>
  </si>
  <si>
    <t>                                72.00</t>
  </si>
  <si>
    <t>                                                   78.00</t>
  </si>
  <si>
    <t>                                63.00</t>
  </si>
  <si>
    <t>                                                   69.00</t>
  </si>
  <si>
    <t>                              135.00</t>
  </si>
  <si>
    <t>                                                141.00</t>
  </si>
  <si>
    <t>                              107.00</t>
  </si>
  <si>
    <t>                                                113.00</t>
  </si>
  <si>
    <t>                                71.00</t>
  </si>
  <si>
    <t>                                                   77.00</t>
  </si>
  <si>
    <t>                                49.00</t>
  </si>
  <si>
    <t>                                                   55.00</t>
  </si>
  <si>
    <t>                                69.00</t>
  </si>
  <si>
    <t>                                                   75.00</t>
  </si>
  <si>
    <t>                                29.00</t>
  </si>
  <si>
    <t>                                35.00</t>
  </si>
  <si>
    <t>                                                   41.00</t>
  </si>
  <si>
    <t>                                21.00</t>
  </si>
  <si>
    <t>                                                   27.00</t>
  </si>
  <si>
    <t>                                15.00</t>
  </si>
  <si>
    <t>                                                   21.00</t>
  </si>
  <si>
    <t>                                65.00</t>
  </si>
  <si>
    <t>                                                   71.00</t>
  </si>
  <si>
    <t>                                42.00</t>
  </si>
  <si>
    <t>                                65.00</t>
  </si>
  <si>
    <t>                              222.00</t>
  </si>
  <si>
    <t>                                                228.00</t>
  </si>
  <si>
    <t>                                75.00</t>
  </si>
  <si>
    <t>                                                   81.00</t>
  </si>
  <si>
    <t>                              250.00</t>
  </si>
  <si>
    <t>                                                256.00</t>
  </si>
  <si>
    <t>                                84.00</t>
  </si>
  <si>
    <t>                                                   90.00</t>
  </si>
  <si>
    <t>                              128.00</t>
  </si>
  <si>
    <t>                                                134.00</t>
  </si>
  <si>
    <t>                                40.00</t>
  </si>
  <si>
    <t>                                                   46.00</t>
  </si>
  <si>
    <t>                                38.00</t>
  </si>
  <si>
    <t>                                                   44.00</t>
  </si>
  <si>
    <t> -</t>
  </si>
  <si>
    <t>                                39.00</t>
  </si>
  <si>
    <t>                                                   45.00</t>
  </si>
  <si>
    <t>53  (10KG PACK SIZE)</t>
  </si>
  <si>
    <t>30 (11.34KG PACK SIZE)</t>
  </si>
  <si>
    <t>3rd February 2026- 31st dec 2026</t>
  </si>
  <si>
    <t>EX KALSEC SENOKO, SINGAPORE</t>
  </si>
  <si>
    <t xml:space="preserve"> requires 16-20 weeks of ordering lead time</t>
  </si>
  <si>
    <t>DURALOX® AQUARESIN® FRANKFURTE</t>
  </si>
  <si>
    <t>30/6/2026</t>
  </si>
  <si>
    <t>Archive</t>
  </si>
  <si>
    <t>30th September 2026</t>
  </si>
  <si>
    <t>EXW Singapore, Kalsec Sinagpore</t>
  </si>
  <si>
    <t>6-8 weeks upon receive your PO. Kalamazoo production., &lt;100KG/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</si>
</sst>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409]d\-mmm\-yy;@"/>
    <numFmt numFmtId="166" formatCode="[$-409]dd\-mmm\-yy;@"/>
    <numFmt numFmtId="167" formatCode="[$-409]d\-mmm\-yyyy;@"/>
    <numFmt numFmtId="168" formatCode="0.0"/>
  </numFmts>
  <fonts count="71"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11"/>
      <color theme="1"/>
      <name val="Sylfaen"/>
      <family val="1"/>
    </font>
    <font>
      <sz val="11"/>
      <color theme="1"/>
      <name val="Sylfaen"/>
      <family val="1"/>
    </font>
    <font>
      <sz val="11"/>
      <color rgb="FF0000CC"/>
      <name val="Sylfaen"/>
      <family val="1"/>
    </font>
    <font>
      <sz val="11"/>
      <color rgb="FF0000CC"/>
      <name val="Cambria"/>
      <family val="1"/>
    </font>
    <font>
      <b/>
      <sz val="11"/>
      <color rgb="FF0000CC"/>
      <name val="Sylfaen"/>
      <family val="1"/>
    </font>
    <font>
      <sz val="11"/>
      <color theme="1"/>
      <name val="Cambria"/>
      <family val="1"/>
    </font>
    <font>
      <b/>
      <sz val="11"/>
      <color rgb="FF000000"/>
      <name val="Calibri"/>
      <family val="2"/>
      <scheme val="minor"/>
    </font>
    <font>
      <sz val="11"/>
      <color rgb="FF000000"/>
      <name val="Calibri"/>
      <family val="2"/>
      <scheme val="minor"/>
    </font>
    <font>
      <sz val="11"/>
      <color rgb="FFFF0000"/>
      <name val="Sylfaen"/>
      <family val="1"/>
    </font>
    <font>
      <sz val="11"/>
      <color rgb="FFFF0000"/>
      <name val="Cambria"/>
      <family val="1"/>
    </font>
    <font>
      <sz val="11"/>
      <color theme="1"/>
      <name val="Calibri"/>
      <family val="2"/>
      <scheme val="minor"/>
    </font>
    <font>
      <sz val="11"/>
      <name val="Cambria"/>
      <family val="1"/>
    </font>
    <font>
      <sz val="11"/>
      <name val="Sylfaen"/>
      <family val="1"/>
    </font>
    <font>
      <sz val="11"/>
      <color theme="0"/>
      <name val="Calibri"/>
      <family val="2"/>
      <scheme val="minor"/>
    </font>
    <font>
      <b/>
      <sz val="20"/>
      <color theme="0"/>
      <name val="Calibri"/>
      <family val="2"/>
      <scheme val="minor"/>
    </font>
    <font>
      <sz val="10"/>
      <color theme="1"/>
      <name val="Arial"/>
      <family val="2"/>
    </font>
    <font>
      <b/>
      <sz val="10"/>
      <color rgb="FF000000"/>
      <name val="Arial"/>
      <family val="2"/>
    </font>
    <font>
      <b/>
      <sz val="10"/>
      <color rgb="FF008000"/>
      <name val="Arial"/>
      <family val="2"/>
    </font>
    <font>
      <b/>
      <sz val="10"/>
      <color rgb="FF4F4F4F"/>
      <name val="Arial"/>
      <family val="2"/>
    </font>
    <font>
      <b/>
      <sz val="10"/>
      <color theme="1"/>
      <name val="Arial"/>
      <family val="2"/>
    </font>
    <font>
      <b/>
      <vertAlign val="superscript"/>
      <sz val="10"/>
      <color theme="1"/>
      <name val="Arial"/>
      <family val="2"/>
    </font>
    <font>
      <sz val="11"/>
      <color rgb="FF333333"/>
      <name val="Calibri"/>
      <family val="2"/>
      <scheme val="minor"/>
    </font>
    <font>
      <sz val="9"/>
      <color indexed="81"/>
      <name val="Tahoma"/>
      <family val="2"/>
    </font>
    <font>
      <b/>
      <sz val="9"/>
      <color indexed="81"/>
      <name val="Tahoma"/>
      <family val="2"/>
    </font>
    <font>
      <sz val="8"/>
      <name val="Calibri"/>
      <family val="2"/>
      <scheme val="minor"/>
    </font>
    <font>
      <sz val="8"/>
      <color theme="1"/>
      <name val="Calibri"/>
      <family val="2"/>
      <scheme val="minor"/>
    </font>
    <font>
      <sz val="8"/>
      <color rgb="FFFF0000"/>
      <name val="Calibri"/>
      <family val="2"/>
      <scheme val="minor"/>
    </font>
    <font>
      <b/>
      <sz val="8"/>
      <color theme="1"/>
      <name val="Calibri"/>
      <family val="2"/>
      <scheme val="minor"/>
    </font>
    <font>
      <b/>
      <sz val="8"/>
      <color rgb="FF000000"/>
      <name val="Calibri"/>
      <family val="2"/>
      <scheme val="minor"/>
    </font>
    <font>
      <sz val="8"/>
      <color rgb="FF000000"/>
      <name val="Calibri"/>
      <family val="2"/>
      <scheme val="minor"/>
    </font>
    <font>
      <sz val="8"/>
      <color rgb="FFC00000"/>
      <name val="Calibri"/>
      <family val="2"/>
      <scheme val="minor"/>
    </font>
    <font>
      <sz val="8"/>
      <color rgb="FF333333"/>
      <name val="Calibri"/>
      <family val="2"/>
      <scheme val="minor"/>
    </font>
    <font>
      <b/>
      <sz val="8"/>
      <color rgb="FFFF0000"/>
      <name val="Calibri"/>
      <family val="2"/>
      <scheme val="minor"/>
    </font>
    <font>
      <sz val="8"/>
      <color rgb="FFFF3300"/>
      <name val="Calibri"/>
      <family val="2"/>
      <scheme val="minor"/>
    </font>
    <font>
      <b/>
      <sz val="8"/>
      <color rgb="FFC00000"/>
      <name val="Calibri"/>
      <family val="2"/>
      <scheme val="minor"/>
    </font>
    <font>
      <vertAlign val="superscript"/>
      <sz val="8"/>
      <color rgb="FF000000"/>
      <name val="Calibri"/>
      <family val="2"/>
      <scheme val="minor"/>
    </font>
    <font>
      <vertAlign val="superscript"/>
      <sz val="8"/>
      <color theme="1"/>
      <name val="Calibri"/>
      <family val="2"/>
      <scheme val="minor"/>
    </font>
    <font>
      <b/>
      <sz val="8"/>
      <name val="Calibri"/>
      <family val="2"/>
      <scheme val="minor"/>
    </font>
    <font>
      <b/>
      <sz val="8"/>
      <color theme="0"/>
      <name val="Calibri"/>
      <family val="2"/>
      <scheme val="minor"/>
    </font>
    <font>
      <sz val="8"/>
      <color theme="0"/>
      <name val="Calibri"/>
      <family val="2"/>
      <scheme val="minor"/>
    </font>
    <font>
      <sz val="8"/>
      <name val="Arial"/>
      <family val="2"/>
    </font>
    <font>
      <sz val="8"/>
      <color theme="5" tint="-0.249977111117893"/>
      <name val="Arial"/>
      <family val="2"/>
    </font>
    <font>
      <sz val="8"/>
      <color theme="5" tint="-0.249977111117893"/>
      <name val="Calibri"/>
      <family val="2"/>
      <scheme val="minor"/>
    </font>
    <font>
      <sz val="8"/>
      <color rgb="FFFF0000"/>
      <name val="Arial"/>
      <family val="2"/>
    </font>
    <font>
      <b/>
      <sz val="11"/>
      <color rgb="FF000000"/>
      <name val="Calibri"/>
      <family val="2"/>
    </font>
    <font>
      <sz val="11"/>
      <color rgb="FF000000"/>
      <name val="Arial"/>
      <family val="2"/>
    </font>
    <font>
      <sz val="11"/>
      <color rgb="FF000000"/>
      <name val="Calibri"/>
      <family val="2"/>
    </font>
    <font>
      <sz val="9"/>
      <color rgb="FF333333"/>
      <name val="Arial"/>
      <family val="2"/>
    </font>
    <font>
      <sz val="9"/>
      <color rgb="FF000000"/>
      <name val="Arial"/>
      <family val="2"/>
    </font>
    <font>
      <sz val="9"/>
      <color rgb="FF000000"/>
      <name val="Calibri"/>
      <family val="2"/>
    </font>
    <font>
      <sz val="9"/>
      <color theme="1"/>
      <name val="Calibri"/>
      <family val="2"/>
      <scheme val="minor"/>
    </font>
    <font>
      <sz val="8"/>
      <name val="Tahoma"/>
      <family val="2"/>
    </font>
    <font>
      <b/>
      <sz val="8"/>
      <color theme="1"/>
      <name val="Arial"/>
      <family val="2"/>
    </font>
    <font>
      <sz val="8"/>
      <color theme="1"/>
      <name val="Arial"/>
      <family val="2"/>
    </font>
    <font>
      <sz val="8"/>
      <color theme="1"/>
      <name val="Calibri"/>
      <family val="2"/>
    </font>
    <font>
      <sz val="9"/>
      <color theme="1"/>
      <name val="Calibri"/>
      <family val="2"/>
    </font>
    <font>
      <vertAlign val="superscript"/>
      <sz val="9"/>
      <color theme="1"/>
      <name val="Calibri"/>
      <family val="2"/>
    </font>
    <font>
      <sz val="11"/>
      <color rgb="FF000000"/>
      <name val="Aptos Narrow"/>
      <family val="2"/>
    </font>
    <font>
      <sz val="12"/>
      <color theme="1"/>
      <name val="Aptos"/>
      <family val="2"/>
    </font>
    <font>
      <sz val="11"/>
      <color rgb="FF242424"/>
      <name val="Calibri"/>
      <family val="2"/>
      <scheme val="minor"/>
    </font>
    <font>
      <u/>
      <sz val="11"/>
      <color theme="10"/>
      <name val="Calibri"/>
      <family val="2"/>
      <scheme val="minor"/>
    </font>
    <font>
      <sz val="10"/>
      <color rgb="FF242424"/>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
      <sz val="8"/>
      <color rgb="FF242424"/>
      <name val="Times New Roman"/>
      <family val="1"/>
    </font>
    <font>
      <sz val="8"/>
      <color rgb="FF242424"/>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FF0000"/>
        <bgColor indexed="64"/>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1"/>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tint="-0.34998626667073579"/>
        <bgColor rgb="FFFFFFFF"/>
      </patternFill>
    </fill>
    <fill>
      <patternFill patternType="solid">
        <fgColor theme="0" tint="-0.34998626667073579"/>
        <bgColor indexed="64"/>
      </patternFill>
    </fill>
    <fill>
      <patternFill patternType="solid">
        <fgColor rgb="FFFFFFFF"/>
        <bgColor indexed="64"/>
      </patternFill>
    </fill>
    <fill>
      <patternFill patternType="solid">
        <fgColor theme="2" tint="-0.499984740745262"/>
        <bgColor indexed="64"/>
      </patternFill>
    </fill>
    <fill>
      <patternFill patternType="solid">
        <fgColor rgb="FFF8FBFC"/>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5"/>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thin">
        <color auto="1"/>
      </left>
      <right style="thin">
        <color auto="1"/>
      </right>
      <top style="thin">
        <color auto="1"/>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medium">
        <color rgb="FF000000"/>
      </top>
      <bottom style="medium">
        <color rgb="FF000000"/>
      </bottom>
      <diagonal/>
    </border>
    <border>
      <left/>
      <right/>
      <top/>
      <bottom style="medium">
        <color rgb="FF000000"/>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bottom/>
      <diagonal/>
    </border>
    <border>
      <left style="thin">
        <color theme="1"/>
      </left>
      <right style="thin">
        <color theme="1"/>
      </right>
      <top/>
      <bottom/>
      <diagonal/>
    </border>
    <border>
      <left/>
      <right style="thin">
        <color auto="1"/>
      </right>
      <top style="thin">
        <color auto="1"/>
      </top>
      <bottom/>
      <diagonal/>
    </border>
    <border>
      <left/>
      <right style="thin">
        <color auto="1"/>
      </right>
      <top/>
      <bottom style="thin">
        <color auto="1"/>
      </bottom>
      <diagonal/>
    </border>
    <border>
      <left style="thin">
        <color theme="4" tint="0.39997558519241921"/>
      </left>
      <right style="thin">
        <color indexed="64"/>
      </right>
      <top/>
      <bottom style="thin">
        <color theme="4" tint="0.39997558519241921"/>
      </bottom>
      <diagonal/>
    </border>
    <border>
      <left style="thin">
        <color theme="4" tint="0.39997558519241921"/>
      </left>
      <right style="thin">
        <color indexed="64"/>
      </right>
      <top/>
      <bottom/>
      <diagonal/>
    </border>
    <border>
      <left style="thin">
        <color auto="1"/>
      </left>
      <right style="thin">
        <color indexed="64"/>
      </right>
      <top/>
      <bottom style="thin">
        <color theme="4" tint="0.39997558519241921"/>
      </bottom>
      <diagonal/>
    </border>
  </borders>
  <cellStyleXfs count="3">
    <xf numFmtId="0" fontId="0" fillId="0" borderId="0"/>
    <xf numFmtId="164" fontId="14" fillId="0" borderId="0" applyFont="0" applyFill="0" applyBorder="0" applyAlignment="0" applyProtection="0"/>
    <xf numFmtId="0" fontId="64" fillId="0" borderId="0" applyNumberFormat="0" applyFill="0" applyBorder="0" applyAlignment="0" applyProtection="0"/>
  </cellStyleXfs>
  <cellXfs count="649">
    <xf numFmtId="0" fontId="0" fillId="0" borderId="0" xfId="0"/>
    <xf numFmtId="0" fontId="4" fillId="0" borderId="0" xfId="0" applyFont="1"/>
    <xf numFmtId="0" fontId="5" fillId="0" borderId="0" xfId="0" applyFont="1"/>
    <xf numFmtId="15" fontId="5" fillId="0" borderId="0" xfId="0" applyNumberFormat="1" applyFont="1"/>
    <xf numFmtId="0" fontId="7" fillId="0" borderId="0" xfId="0" applyFont="1"/>
    <xf numFmtId="15" fontId="6" fillId="0" borderId="0" xfId="0" applyNumberFormat="1" applyFont="1"/>
    <xf numFmtId="0" fontId="8" fillId="0" borderId="0" xfId="0" applyFont="1"/>
    <xf numFmtId="0" fontId="9" fillId="0" borderId="0" xfId="0" applyFont="1"/>
    <xf numFmtId="15" fontId="12" fillId="0" borderId="0" xfId="0" applyNumberFormat="1" applyFont="1"/>
    <xf numFmtId="0" fontId="13" fillId="0" borderId="0" xfId="0" applyFont="1"/>
    <xf numFmtId="0" fontId="12" fillId="0" borderId="0" xfId="0" applyFont="1"/>
    <xf numFmtId="0" fontId="9" fillId="0" borderId="0" xfId="0" applyFont="1" applyAlignment="1">
      <alignment horizontal="left"/>
    </xf>
    <xf numFmtId="0" fontId="13" fillId="0" borderId="0" xfId="0" applyFont="1" applyAlignment="1">
      <alignment horizontal="left"/>
    </xf>
    <xf numFmtId="0" fontId="0" fillId="0" borderId="0" xfId="0" applyAlignment="1">
      <alignment vertical="center"/>
    </xf>
    <xf numFmtId="0" fontId="15" fillId="0" borderId="0" xfId="0" applyFont="1"/>
    <xf numFmtId="15" fontId="16" fillId="0" borderId="0" xfId="0" applyNumberFormat="1" applyFont="1"/>
    <xf numFmtId="0" fontId="16" fillId="0" borderId="0" xfId="0" applyFont="1"/>
    <xf numFmtId="0" fontId="9" fillId="0" borderId="0" xfId="0" applyFont="1" applyAlignment="1">
      <alignment wrapText="1"/>
    </xf>
    <xf numFmtId="0" fontId="2" fillId="0" borderId="0" xfId="0" applyFont="1" applyAlignment="1">
      <alignment vertical="center"/>
    </xf>
    <xf numFmtId="15" fontId="16" fillId="0" borderId="2" xfId="0" applyNumberFormat="1" applyFont="1" applyBorder="1"/>
    <xf numFmtId="0" fontId="15" fillId="0" borderId="3" xfId="0" applyFont="1" applyBorder="1"/>
    <xf numFmtId="0" fontId="9" fillId="0" borderId="3" xfId="0" applyFont="1" applyBorder="1"/>
    <xf numFmtId="0" fontId="9" fillId="0" borderId="4" xfId="0" applyFont="1" applyBorder="1"/>
    <xf numFmtId="15" fontId="16" fillId="0" borderId="5" xfId="0" applyNumberFormat="1" applyFont="1" applyBorder="1"/>
    <xf numFmtId="0" fontId="9" fillId="0" borderId="6" xfId="0" applyFont="1" applyBorder="1"/>
    <xf numFmtId="15" fontId="12" fillId="0" borderId="5" xfId="0" applyNumberFormat="1" applyFont="1" applyBorder="1"/>
    <xf numFmtId="0" fontId="13" fillId="0" borderId="6" xfId="0" applyFont="1" applyBorder="1"/>
    <xf numFmtId="0" fontId="15" fillId="0" borderId="0" xfId="0" applyFont="1" applyAlignment="1">
      <alignment horizontal="left"/>
    </xf>
    <xf numFmtId="15" fontId="16" fillId="0" borderId="7" xfId="0" applyNumberFormat="1" applyFont="1" applyBorder="1"/>
    <xf numFmtId="0" fontId="15" fillId="0" borderId="8" xfId="0" applyFont="1" applyBorder="1"/>
    <xf numFmtId="0" fontId="9" fillId="0" borderId="8" xfId="0" applyFont="1" applyBorder="1"/>
    <xf numFmtId="0" fontId="9" fillId="0" borderId="8" xfId="0" applyFont="1" applyBorder="1" applyAlignment="1">
      <alignment horizontal="left"/>
    </xf>
    <xf numFmtId="0" fontId="9" fillId="0" borderId="9" xfId="0" applyFont="1" applyBorder="1"/>
    <xf numFmtId="0" fontId="8" fillId="5" borderId="10" xfId="0" applyFont="1" applyFill="1" applyBorder="1" applyAlignment="1">
      <alignment horizontal="center"/>
    </xf>
    <xf numFmtId="0" fontId="0" fillId="0" borderId="10" xfId="0" applyBorder="1"/>
    <xf numFmtId="49" fontId="3" fillId="7" borderId="1" xfId="0" applyNumberFormat="1" applyFont="1" applyFill="1" applyBorder="1" applyAlignment="1">
      <alignment horizontal="left" vertical="center" wrapText="1"/>
    </xf>
    <xf numFmtId="0" fontId="11" fillId="7" borderId="1" xfId="0" applyFont="1" applyFill="1" applyBorder="1" applyAlignment="1">
      <alignment vertical="top" wrapText="1"/>
    </xf>
    <xf numFmtId="0" fontId="1" fillId="8" borderId="0" xfId="0" applyFont="1" applyFill="1" applyAlignment="1">
      <alignment horizontal="center"/>
    </xf>
    <xf numFmtId="0" fontId="1" fillId="6" borderId="0" xfId="0" applyFont="1" applyFill="1" applyAlignment="1">
      <alignment horizontal="center"/>
    </xf>
    <xf numFmtId="0" fontId="18" fillId="10" borderId="0" xfId="0" applyFont="1" applyFill="1"/>
    <xf numFmtId="0" fontId="17" fillId="10" borderId="0" xfId="0" applyFont="1" applyFill="1"/>
    <xf numFmtId="0" fontId="0" fillId="0" borderId="0" xfId="0" applyAlignment="1">
      <alignment wrapText="1"/>
    </xf>
    <xf numFmtId="49" fontId="10" fillId="11" borderId="1" xfId="0" applyNumberFormat="1" applyFont="1" applyFill="1" applyBorder="1" applyAlignment="1">
      <alignment horizontal="left" vertical="center" wrapText="1"/>
    </xf>
    <xf numFmtId="0" fontId="10" fillId="11" borderId="1" xfId="0" applyFont="1" applyFill="1" applyBorder="1" applyAlignment="1">
      <alignment horizontal="left" vertical="center" wrapText="1"/>
    </xf>
    <xf numFmtId="0" fontId="10" fillId="11" borderId="1" xfId="0" applyFont="1" applyFill="1" applyBorder="1" applyAlignment="1">
      <alignment horizontal="center" vertical="center" wrapText="1"/>
    </xf>
    <xf numFmtId="4" fontId="10" fillId="11" borderId="1" xfId="0" applyNumberFormat="1"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quotePrefix="1" applyBorder="1"/>
    <xf numFmtId="0" fontId="0" fillId="12" borderId="1" xfId="0" quotePrefix="1" applyFill="1" applyBorder="1"/>
    <xf numFmtId="0" fontId="0" fillId="12" borderId="1" xfId="0" applyFill="1" applyBorder="1" applyAlignment="1">
      <alignment wrapText="1"/>
    </xf>
    <xf numFmtId="0" fontId="0" fillId="12" borderId="1" xfId="0" applyFill="1" applyBorder="1"/>
    <xf numFmtId="0" fontId="0" fillId="13" borderId="1" xfId="0" quotePrefix="1" applyFill="1" applyBorder="1"/>
    <xf numFmtId="0" fontId="0" fillId="13" borderId="1" xfId="0" applyFill="1" applyBorder="1" applyAlignment="1">
      <alignment wrapText="1"/>
    </xf>
    <xf numFmtId="0" fontId="0" fillId="13" borderId="1" xfId="0" applyFill="1" applyBorder="1"/>
    <xf numFmtId="0" fontId="0" fillId="0" borderId="1" xfId="0" applyBorder="1" applyAlignment="1">
      <alignment horizontal="left"/>
    </xf>
    <xf numFmtId="0" fontId="0" fillId="0" borderId="0" xfId="0" quotePrefix="1"/>
    <xf numFmtId="0" fontId="0" fillId="0" borderId="0" xfId="0" applyAlignment="1">
      <alignment horizontal="center"/>
    </xf>
    <xf numFmtId="0" fontId="0" fillId="7" borderId="1" xfId="0" applyFill="1" applyBorder="1" applyAlignment="1">
      <alignment wrapText="1"/>
    </xf>
    <xf numFmtId="0" fontId="0" fillId="7" borderId="1" xfId="0" applyFill="1" applyBorder="1"/>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0" fillId="0" borderId="14" xfId="0" quotePrefix="1" applyBorder="1"/>
    <xf numFmtId="0" fontId="0" fillId="0" borderId="14" xfId="0" applyBorder="1" applyAlignment="1">
      <alignment wrapText="1"/>
    </xf>
    <xf numFmtId="0" fontId="0" fillId="0" borderId="10" xfId="0" applyBorder="1" applyAlignment="1">
      <alignment wrapText="1"/>
    </xf>
    <xf numFmtId="0" fontId="0" fillId="0" borderId="10" xfId="0" applyBorder="1" applyAlignment="1">
      <alignment horizontal="left"/>
    </xf>
    <xf numFmtId="10" fontId="0" fillId="0" borderId="0" xfId="0" applyNumberFormat="1" applyAlignment="1">
      <alignment wrapText="1"/>
    </xf>
    <xf numFmtId="0" fontId="25" fillId="0" borderId="14" xfId="0" applyFont="1" applyBorder="1"/>
    <xf numFmtId="166" fontId="29" fillId="0" borderId="0" xfId="0" applyNumberFormat="1" applyFont="1" applyAlignment="1">
      <alignment horizontal="left" vertical="center"/>
    </xf>
    <xf numFmtId="166" fontId="30" fillId="0" borderId="10" xfId="0" applyNumberFormat="1" applyFont="1" applyBorder="1" applyAlignment="1">
      <alignment horizontal="left" vertical="center"/>
    </xf>
    <xf numFmtId="0" fontId="29" fillId="0" borderId="0" xfId="0" applyFont="1" applyAlignment="1">
      <alignment horizontal="left" vertical="center"/>
    </xf>
    <xf numFmtId="0" fontId="31" fillId="0" borderId="0" xfId="0" applyFont="1" applyAlignment="1">
      <alignment horizontal="left" vertical="center"/>
    </xf>
    <xf numFmtId="0" fontId="32" fillId="0" borderId="10" xfId="0" applyFont="1" applyBorder="1" applyAlignment="1">
      <alignment horizontal="left" vertical="center" wrapText="1"/>
    </xf>
    <xf numFmtId="0" fontId="32" fillId="9" borderId="10" xfId="0" applyFont="1" applyFill="1" applyBorder="1" applyAlignment="1">
      <alignment horizontal="left" vertical="center" wrapText="1"/>
    </xf>
    <xf numFmtId="0" fontId="29" fillId="0" borderId="10" xfId="0" applyFont="1" applyBorder="1" applyAlignment="1">
      <alignment horizontal="left" vertical="center"/>
    </xf>
    <xf numFmtId="0" fontId="29" fillId="0" borderId="15" xfId="0" applyFont="1" applyBorder="1" applyAlignment="1">
      <alignment horizontal="left" vertical="center"/>
    </xf>
    <xf numFmtId="0" fontId="29" fillId="17" borderId="10" xfId="0" applyFont="1" applyFill="1" applyBorder="1" applyAlignment="1">
      <alignment horizontal="left" vertical="center"/>
    </xf>
    <xf numFmtId="0" fontId="32" fillId="17" borderId="10" xfId="0" applyFont="1" applyFill="1" applyBorder="1" applyAlignment="1">
      <alignment horizontal="left" vertical="top" wrapText="1"/>
    </xf>
    <xf numFmtId="0" fontId="33" fillId="0" borderId="10" xfId="0" applyFont="1" applyBorder="1" applyAlignment="1">
      <alignment horizontal="left" vertical="center"/>
    </xf>
    <xf numFmtId="0" fontId="29" fillId="0" borderId="19" xfId="0" applyFont="1" applyBorder="1" applyAlignment="1">
      <alignment horizontal="left" vertical="center"/>
    </xf>
    <xf numFmtId="0" fontId="29" fillId="0" borderId="0" xfId="0" applyFont="1" applyAlignment="1">
      <alignment horizontal="right" vertical="center"/>
    </xf>
    <xf numFmtId="165" fontId="29" fillId="0" borderId="0" xfId="0" applyNumberFormat="1" applyFont="1" applyAlignment="1">
      <alignment horizontal="left" vertical="center"/>
    </xf>
    <xf numFmtId="0" fontId="31" fillId="0" borderId="10" xfId="0" applyFont="1" applyBorder="1" applyAlignment="1">
      <alignment horizontal="left" vertical="center"/>
    </xf>
    <xf numFmtId="165" fontId="31" fillId="0" borderId="10" xfId="0" applyNumberFormat="1" applyFont="1" applyBorder="1" applyAlignment="1">
      <alignment horizontal="left" vertical="center"/>
    </xf>
    <xf numFmtId="0" fontId="31" fillId="0" borderId="10" xfId="0" applyFont="1" applyBorder="1" applyAlignment="1">
      <alignment horizontal="left" vertical="center" wrapText="1"/>
    </xf>
    <xf numFmtId="0" fontId="29" fillId="0" borderId="10" xfId="0" applyFont="1" applyBorder="1" applyAlignment="1">
      <alignment horizontal="right" vertical="center"/>
    </xf>
    <xf numFmtId="165" fontId="29" fillId="0" borderId="10" xfId="0" applyNumberFormat="1" applyFont="1" applyBorder="1" applyAlignment="1">
      <alignment horizontal="left" vertical="center"/>
    </xf>
    <xf numFmtId="166" fontId="29" fillId="0" borderId="10" xfId="0" applyNumberFormat="1" applyFont="1" applyBorder="1" applyAlignment="1">
      <alignment horizontal="left" vertical="center"/>
    </xf>
    <xf numFmtId="0" fontId="29" fillId="5" borderId="0" xfId="0" applyFont="1" applyFill="1" applyAlignment="1">
      <alignment horizontal="left" vertical="center"/>
    </xf>
    <xf numFmtId="2" fontId="29" fillId="0" borderId="10" xfId="0" applyNumberFormat="1" applyFont="1" applyBorder="1" applyAlignment="1">
      <alignment horizontal="right" vertical="center"/>
    </xf>
    <xf numFmtId="0" fontId="29" fillId="7" borderId="10" xfId="0" applyFont="1" applyFill="1" applyBorder="1" applyAlignment="1">
      <alignment horizontal="left" vertical="center"/>
    </xf>
    <xf numFmtId="0" fontId="29" fillId="17" borderId="10" xfId="0" applyFont="1" applyFill="1" applyBorder="1" applyAlignment="1">
      <alignment horizontal="right" vertical="center"/>
    </xf>
    <xf numFmtId="165" fontId="29" fillId="17" borderId="10" xfId="0" applyNumberFormat="1" applyFont="1" applyFill="1" applyBorder="1" applyAlignment="1">
      <alignment horizontal="left" vertical="center"/>
    </xf>
    <xf numFmtId="166" fontId="29" fillId="17" borderId="10" xfId="0" applyNumberFormat="1" applyFont="1" applyFill="1" applyBorder="1" applyAlignment="1">
      <alignment horizontal="left" vertical="center"/>
    </xf>
    <xf numFmtId="0" fontId="28" fillId="0" borderId="0" xfId="0" applyFont="1" applyAlignment="1">
      <alignment horizontal="left" vertical="center"/>
    </xf>
    <xf numFmtId="0" fontId="28" fillId="5" borderId="0" xfId="0" applyFont="1" applyFill="1" applyAlignment="1">
      <alignment horizontal="left" vertical="center"/>
    </xf>
    <xf numFmtId="0" fontId="29" fillId="17" borderId="0" xfId="0" applyFont="1" applyFill="1" applyAlignment="1">
      <alignment horizontal="left" vertical="center"/>
    </xf>
    <xf numFmtId="0" fontId="33" fillId="0" borderId="10" xfId="0" applyFont="1" applyBorder="1" applyAlignment="1">
      <alignment horizontal="right" vertical="center"/>
    </xf>
    <xf numFmtId="0" fontId="29" fillId="5" borderId="10" xfId="0" applyFont="1" applyFill="1" applyBorder="1" applyAlignment="1">
      <alignment horizontal="left" vertical="center"/>
    </xf>
    <xf numFmtId="0" fontId="29" fillId="5" borderId="15" xfId="0" applyFont="1" applyFill="1" applyBorder="1" applyAlignment="1">
      <alignment horizontal="left" vertical="center"/>
    </xf>
    <xf numFmtId="0" fontId="33" fillId="5" borderId="10" xfId="0" applyFont="1" applyFill="1" applyBorder="1" applyAlignment="1">
      <alignment horizontal="left" vertical="center"/>
    </xf>
    <xf numFmtId="49" fontId="35" fillId="5" borderId="10" xfId="0" applyNumberFormat="1" applyFont="1" applyFill="1" applyBorder="1" applyAlignment="1">
      <alignment horizontal="left"/>
    </xf>
    <xf numFmtId="0" fontId="33" fillId="5" borderId="10" xfId="0" applyFont="1" applyFill="1" applyBorder="1" applyAlignment="1">
      <alignment horizontal="left"/>
    </xf>
    <xf numFmtId="0" fontId="35" fillId="20" borderId="10" xfId="0" applyFont="1" applyFill="1" applyBorder="1" applyAlignment="1">
      <alignment horizontal="left" vertical="center"/>
    </xf>
    <xf numFmtId="0" fontId="30" fillId="0" borderId="10" xfId="0" applyFont="1" applyBorder="1" applyAlignment="1">
      <alignment horizontal="left" vertical="center"/>
    </xf>
    <xf numFmtId="0" fontId="29" fillId="5" borderId="10" xfId="0" applyFont="1" applyFill="1" applyBorder="1" applyAlignment="1">
      <alignment horizontal="right" vertical="center"/>
    </xf>
    <xf numFmtId="165" fontId="29" fillId="5" borderId="10" xfId="0" applyNumberFormat="1" applyFont="1" applyFill="1" applyBorder="1" applyAlignment="1">
      <alignment horizontal="left" vertical="center"/>
    </xf>
    <xf numFmtId="166" fontId="29" fillId="5" borderId="10" xfId="0" applyNumberFormat="1" applyFont="1" applyFill="1" applyBorder="1" applyAlignment="1">
      <alignment horizontal="left" vertical="center"/>
    </xf>
    <xf numFmtId="0" fontId="29" fillId="5" borderId="10" xfId="0" applyFont="1" applyFill="1" applyBorder="1" applyAlignment="1">
      <alignment horizontal="right"/>
    </xf>
    <xf numFmtId="0" fontId="29" fillId="17" borderId="10" xfId="0" applyFont="1" applyFill="1" applyBorder="1" applyAlignment="1">
      <alignment horizontal="right"/>
    </xf>
    <xf numFmtId="165" fontId="29" fillId="5" borderId="15" xfId="0" applyNumberFormat="1" applyFont="1" applyFill="1" applyBorder="1" applyAlignment="1">
      <alignment horizontal="left" vertical="center"/>
    </xf>
    <xf numFmtId="166" fontId="29" fillId="5" borderId="15" xfId="0" applyNumberFormat="1" applyFont="1" applyFill="1" applyBorder="1" applyAlignment="1">
      <alignment horizontal="left" vertical="center"/>
    </xf>
    <xf numFmtId="0" fontId="30" fillId="0" borderId="0" xfId="0" applyFont="1" applyAlignment="1">
      <alignment horizontal="left" vertical="center"/>
    </xf>
    <xf numFmtId="0" fontId="29" fillId="17" borderId="10" xfId="0" applyFont="1" applyFill="1" applyBorder="1" applyAlignment="1">
      <alignment horizontal="left" vertical="center" wrapText="1"/>
    </xf>
    <xf numFmtId="2" fontId="29" fillId="17" borderId="10" xfId="0" applyNumberFormat="1" applyFont="1" applyFill="1" applyBorder="1" applyAlignment="1">
      <alignment horizontal="right" vertical="center"/>
    </xf>
    <xf numFmtId="2" fontId="33" fillId="5" borderId="10" xfId="0" applyNumberFormat="1" applyFont="1" applyFill="1" applyBorder="1" applyAlignment="1">
      <alignment horizontal="right" vertical="center"/>
    </xf>
    <xf numFmtId="2" fontId="29" fillId="5" borderId="10" xfId="0" applyNumberFormat="1" applyFont="1" applyFill="1" applyBorder="1" applyAlignment="1">
      <alignment horizontal="right" vertical="center"/>
    </xf>
    <xf numFmtId="2" fontId="29" fillId="5" borderId="10" xfId="0" applyNumberFormat="1" applyFont="1" applyFill="1" applyBorder="1" applyAlignment="1">
      <alignment horizontal="right"/>
    </xf>
    <xf numFmtId="0" fontId="29" fillId="7" borderId="0" xfId="0" applyFont="1" applyFill="1" applyAlignment="1">
      <alignment horizontal="left" vertical="center"/>
    </xf>
    <xf numFmtId="2" fontId="33" fillId="0" borderId="10" xfId="0" applyNumberFormat="1" applyFont="1" applyBorder="1" applyAlignment="1">
      <alignment horizontal="right" vertical="center"/>
    </xf>
    <xf numFmtId="0" fontId="29" fillId="0" borderId="10" xfId="0" applyFont="1" applyBorder="1" applyAlignment="1">
      <alignment vertical="center"/>
    </xf>
    <xf numFmtId="0" fontId="29" fillId="7" borderId="10" xfId="0" applyFont="1" applyFill="1" applyBorder="1" applyAlignment="1">
      <alignment horizontal="right" vertical="center"/>
    </xf>
    <xf numFmtId="168" fontId="29" fillId="0" borderId="10" xfId="0" applyNumberFormat="1" applyFont="1" applyBorder="1" applyAlignment="1">
      <alignment horizontal="right" vertical="center"/>
    </xf>
    <xf numFmtId="165" fontId="30" fillId="0" borderId="10" xfId="0" applyNumberFormat="1" applyFont="1" applyBorder="1" applyAlignment="1">
      <alignment horizontal="left" vertical="center"/>
    </xf>
    <xf numFmtId="168" fontId="29" fillId="7" borderId="10" xfId="0" applyNumberFormat="1" applyFont="1" applyFill="1" applyBorder="1" applyAlignment="1">
      <alignment horizontal="right" vertical="center"/>
    </xf>
    <xf numFmtId="0" fontId="35" fillId="20" borderId="10" xfId="0" applyFont="1" applyFill="1" applyBorder="1" applyAlignment="1">
      <alignment vertical="center"/>
    </xf>
    <xf numFmtId="14" fontId="33" fillId="0" borderId="10" xfId="0" applyNumberFormat="1" applyFont="1" applyBorder="1" applyAlignment="1">
      <alignment horizontal="left" vertical="center"/>
    </xf>
    <xf numFmtId="0" fontId="32" fillId="0" borderId="10" xfId="0" applyFont="1" applyBorder="1" applyAlignment="1">
      <alignment horizontal="center" vertical="center"/>
    </xf>
    <xf numFmtId="0" fontId="33" fillId="0" borderId="10" xfId="0" applyFont="1" applyBorder="1" applyAlignment="1">
      <alignment horizontal="center" vertical="center"/>
    </xf>
    <xf numFmtId="0" fontId="29" fillId="0" borderId="10" xfId="0" applyFont="1" applyBorder="1" applyAlignment="1">
      <alignment vertical="center" wrapText="1"/>
    </xf>
    <xf numFmtId="0" fontId="33" fillId="0" borderId="10" xfId="0" applyFont="1" applyBorder="1" applyAlignment="1">
      <alignment vertical="center"/>
    </xf>
    <xf numFmtId="0" fontId="35" fillId="21" borderId="10" xfId="0" applyFont="1" applyFill="1" applyBorder="1" applyAlignment="1">
      <alignment horizontal="left" vertical="center"/>
    </xf>
    <xf numFmtId="0" fontId="32" fillId="0" borderId="0" xfId="0" applyFont="1" applyAlignment="1">
      <alignment horizontal="center" vertical="center"/>
    </xf>
    <xf numFmtId="0" fontId="33" fillId="0" borderId="0" xfId="0" applyFont="1" applyAlignment="1">
      <alignment horizontal="center" vertical="center"/>
    </xf>
    <xf numFmtId="0" fontId="35" fillId="18" borderId="10" xfId="0" applyFont="1" applyFill="1" applyBorder="1" applyAlignment="1">
      <alignment vertical="center"/>
    </xf>
    <xf numFmtId="49" fontId="29" fillId="0" borderId="0" xfId="0" applyNumberFormat="1" applyFont="1" applyAlignment="1">
      <alignment horizontal="left" vertical="center"/>
    </xf>
    <xf numFmtId="49" fontId="32" fillId="0" borderId="10" xfId="0" applyNumberFormat="1" applyFont="1" applyBorder="1" applyAlignment="1">
      <alignment horizontal="left" vertical="center" wrapText="1"/>
    </xf>
    <xf numFmtId="49" fontId="29" fillId="0" borderId="10" xfId="0" applyNumberFormat="1" applyFont="1" applyBorder="1" applyAlignment="1">
      <alignment horizontal="left" vertical="center"/>
    </xf>
    <xf numFmtId="0" fontId="35" fillId="0" borderId="10" xfId="0" applyFont="1" applyBorder="1" applyAlignment="1">
      <alignment vertical="center"/>
    </xf>
    <xf numFmtId="0" fontId="29" fillId="17" borderId="15" xfId="0" applyFont="1" applyFill="1" applyBorder="1" applyAlignment="1">
      <alignment horizontal="left" vertical="center"/>
    </xf>
    <xf numFmtId="0" fontId="29" fillId="0" borderId="10" xfId="0" applyFont="1" applyBorder="1"/>
    <xf numFmtId="0" fontId="32" fillId="17" borderId="15" xfId="0" applyFont="1" applyFill="1" applyBorder="1" applyAlignment="1">
      <alignment horizontal="left" vertical="top" wrapText="1"/>
    </xf>
    <xf numFmtId="0" fontId="29" fillId="0" borderId="11" xfId="0" applyFont="1" applyBorder="1" applyAlignment="1">
      <alignment horizontal="left" vertical="center"/>
    </xf>
    <xf numFmtId="2" fontId="29" fillId="5" borderId="15" xfId="0" applyNumberFormat="1" applyFont="1" applyFill="1" applyBorder="1" applyAlignment="1">
      <alignment horizontal="right" vertical="center"/>
    </xf>
    <xf numFmtId="0" fontId="32" fillId="17" borderId="19" xfId="0" applyFont="1" applyFill="1" applyBorder="1" applyAlignment="1">
      <alignment horizontal="left" vertical="top" wrapText="1"/>
    </xf>
    <xf numFmtId="0" fontId="29" fillId="7" borderId="15" xfId="0" applyFont="1" applyFill="1" applyBorder="1" applyAlignment="1">
      <alignment horizontal="left" vertical="center"/>
    </xf>
    <xf numFmtId="0" fontId="28" fillId="17" borderId="10" xfId="0" applyFont="1" applyFill="1" applyBorder="1" applyAlignment="1">
      <alignment horizontal="left"/>
    </xf>
    <xf numFmtId="0" fontId="28" fillId="17" borderId="10" xfId="0" applyFont="1" applyFill="1" applyBorder="1" applyAlignment="1">
      <alignment vertical="center"/>
    </xf>
    <xf numFmtId="0" fontId="41" fillId="17" borderId="10" xfId="0" applyFont="1" applyFill="1" applyBorder="1" applyAlignment="1">
      <alignment horizontal="left" vertical="top" wrapText="1"/>
    </xf>
    <xf numFmtId="0" fontId="31" fillId="5" borderId="10" xfId="0" applyFont="1" applyFill="1" applyBorder="1" applyAlignment="1">
      <alignment horizontal="left" vertical="center"/>
    </xf>
    <xf numFmtId="2" fontId="28" fillId="17" borderId="10" xfId="0" applyNumberFormat="1" applyFont="1" applyFill="1" applyBorder="1" applyAlignment="1">
      <alignment horizontal="right" vertical="center"/>
    </xf>
    <xf numFmtId="2" fontId="28" fillId="17" borderId="10" xfId="0" applyNumberFormat="1" applyFont="1" applyFill="1" applyBorder="1" applyAlignment="1">
      <alignment horizontal="right"/>
    </xf>
    <xf numFmtId="0" fontId="28" fillId="17" borderId="10" xfId="0" applyFont="1" applyFill="1" applyBorder="1" applyAlignment="1">
      <alignment horizontal="left" vertical="center"/>
    </xf>
    <xf numFmtId="165" fontId="28" fillId="17" borderId="10" xfId="0" applyNumberFormat="1" applyFont="1" applyFill="1" applyBorder="1" applyAlignment="1">
      <alignment horizontal="left" vertical="center"/>
    </xf>
    <xf numFmtId="166" fontId="28" fillId="17" borderId="10" xfId="0" applyNumberFormat="1" applyFont="1" applyFill="1" applyBorder="1" applyAlignment="1">
      <alignment horizontal="left" vertical="center"/>
    </xf>
    <xf numFmtId="49" fontId="29" fillId="17" borderId="10" xfId="0" applyNumberFormat="1" applyFont="1" applyFill="1" applyBorder="1" applyAlignment="1">
      <alignment horizontal="left" vertical="center"/>
    </xf>
    <xf numFmtId="0" fontId="31" fillId="17" borderId="10" xfId="0" applyFont="1" applyFill="1" applyBorder="1" applyAlignment="1">
      <alignment horizontal="left" vertical="center"/>
    </xf>
    <xf numFmtId="0" fontId="29" fillId="17" borderId="10" xfId="0" applyFont="1" applyFill="1" applyBorder="1" applyAlignment="1">
      <alignment vertical="center"/>
    </xf>
    <xf numFmtId="0" fontId="29" fillId="17" borderId="10" xfId="0" applyFont="1" applyFill="1" applyBorder="1" applyAlignment="1">
      <alignment vertical="center" wrapText="1"/>
    </xf>
    <xf numFmtId="2" fontId="29" fillId="17" borderId="10" xfId="0" applyNumberFormat="1" applyFont="1" applyFill="1" applyBorder="1" applyAlignment="1">
      <alignment horizontal="left" vertical="center"/>
    </xf>
    <xf numFmtId="49" fontId="35" fillId="17" borderId="10" xfId="0" applyNumberFormat="1" applyFont="1" applyFill="1" applyBorder="1" applyAlignment="1">
      <alignment horizontal="left"/>
    </xf>
    <xf numFmtId="49" fontId="35" fillId="17" borderId="10" xfId="0" applyNumberFormat="1" applyFont="1" applyFill="1" applyBorder="1"/>
    <xf numFmtId="0" fontId="33" fillId="17" borderId="10" xfId="0" applyFont="1" applyFill="1" applyBorder="1" applyAlignment="1">
      <alignment horizontal="left" vertical="center" wrapText="1"/>
    </xf>
    <xf numFmtId="2" fontId="33" fillId="17" borderId="10" xfId="0" applyNumberFormat="1" applyFont="1" applyFill="1" applyBorder="1" applyAlignment="1">
      <alignment horizontal="right" vertical="center"/>
    </xf>
    <xf numFmtId="2" fontId="33" fillId="17" borderId="10" xfId="0" applyNumberFormat="1" applyFont="1" applyFill="1" applyBorder="1" applyAlignment="1">
      <alignment horizontal="right" vertical="center" wrapText="1"/>
    </xf>
    <xf numFmtId="0" fontId="33" fillId="17" borderId="10" xfId="0" applyFont="1" applyFill="1" applyBorder="1" applyAlignment="1">
      <alignment horizontal="left" vertical="center"/>
    </xf>
    <xf numFmtId="0" fontId="31" fillId="5" borderId="10" xfId="0" applyFont="1" applyFill="1" applyBorder="1" applyAlignment="1">
      <alignment horizontal="left" vertical="top" wrapText="1"/>
    </xf>
    <xf numFmtId="0" fontId="32" fillId="5" borderId="10" xfId="0" applyFont="1" applyFill="1" applyBorder="1" applyAlignment="1">
      <alignment horizontal="left" vertical="top" wrapText="1"/>
    </xf>
    <xf numFmtId="0" fontId="29" fillId="5" borderId="10" xfId="0" applyFont="1" applyFill="1" applyBorder="1" applyAlignment="1">
      <alignment horizontal="left" vertical="center" wrapText="1"/>
    </xf>
    <xf numFmtId="0" fontId="31" fillId="5" borderId="10" xfId="0" applyFont="1" applyFill="1" applyBorder="1" applyAlignment="1">
      <alignment horizontal="left" vertical="center" wrapText="1"/>
    </xf>
    <xf numFmtId="4" fontId="29" fillId="5" borderId="10" xfId="0" applyNumberFormat="1" applyFont="1" applyFill="1" applyBorder="1" applyAlignment="1">
      <alignment horizontal="right" vertical="center" wrapText="1"/>
    </xf>
    <xf numFmtId="4" fontId="29" fillId="5" borderId="10" xfId="0" applyNumberFormat="1" applyFont="1" applyFill="1" applyBorder="1" applyAlignment="1">
      <alignment horizontal="left" vertical="center" wrapText="1"/>
    </xf>
    <xf numFmtId="167" fontId="29" fillId="5" borderId="10" xfId="0" applyNumberFormat="1" applyFont="1" applyFill="1" applyBorder="1" applyAlignment="1">
      <alignment horizontal="left" vertical="center"/>
    </xf>
    <xf numFmtId="0" fontId="33" fillId="5" borderId="10" xfId="0" applyFont="1" applyFill="1" applyBorder="1" applyAlignment="1">
      <alignment horizontal="left" vertical="center" wrapText="1"/>
    </xf>
    <xf numFmtId="49" fontId="31" fillId="5" borderId="10" xfId="0" applyNumberFormat="1" applyFont="1" applyFill="1" applyBorder="1" applyAlignment="1">
      <alignment horizontal="left" vertical="center" wrapText="1"/>
    </xf>
    <xf numFmtId="4" fontId="31" fillId="5" borderId="10" xfId="0" applyNumberFormat="1" applyFont="1" applyFill="1" applyBorder="1" applyAlignment="1">
      <alignment horizontal="right" vertical="center" wrapText="1"/>
    </xf>
    <xf numFmtId="4" fontId="31" fillId="5" borderId="10" xfId="0" applyNumberFormat="1" applyFont="1" applyFill="1" applyBorder="1" applyAlignment="1">
      <alignment horizontal="left" vertical="center" wrapText="1"/>
    </xf>
    <xf numFmtId="165" fontId="31" fillId="5" borderId="10" xfId="0" applyNumberFormat="1" applyFont="1" applyFill="1" applyBorder="1" applyAlignment="1">
      <alignment horizontal="left" vertical="center"/>
    </xf>
    <xf numFmtId="15" fontId="31" fillId="5" borderId="10" xfId="0" applyNumberFormat="1" applyFont="1" applyFill="1" applyBorder="1" applyAlignment="1">
      <alignment horizontal="left" vertical="center"/>
    </xf>
    <xf numFmtId="49" fontId="29" fillId="5" borderId="10" xfId="0" applyNumberFormat="1" applyFont="1" applyFill="1" applyBorder="1" applyAlignment="1">
      <alignment horizontal="left" vertical="center" wrapText="1"/>
    </xf>
    <xf numFmtId="0" fontId="29" fillId="5" borderId="10" xfId="0" applyFont="1" applyFill="1" applyBorder="1" applyAlignment="1">
      <alignment horizontal="left" vertical="top" wrapText="1"/>
    </xf>
    <xf numFmtId="15" fontId="29" fillId="5" borderId="10" xfId="0" applyNumberFormat="1" applyFont="1" applyFill="1" applyBorder="1" applyAlignment="1">
      <alignment horizontal="left" vertical="center"/>
    </xf>
    <xf numFmtId="49" fontId="28" fillId="5" borderId="10" xfId="0" applyNumberFormat="1" applyFont="1" applyFill="1" applyBorder="1" applyAlignment="1">
      <alignment horizontal="left" vertical="center" wrapText="1"/>
    </xf>
    <xf numFmtId="0" fontId="33" fillId="5" borderId="10" xfId="0" applyFont="1" applyFill="1" applyBorder="1" applyAlignment="1">
      <alignment horizontal="left" vertical="top" wrapText="1"/>
    </xf>
    <xf numFmtId="4" fontId="33" fillId="5" borderId="10" xfId="0" applyNumberFormat="1" applyFont="1" applyFill="1" applyBorder="1" applyAlignment="1">
      <alignment horizontal="right" vertical="center" wrapText="1"/>
    </xf>
    <xf numFmtId="4" fontId="33" fillId="3" borderId="10" xfId="0" applyNumberFormat="1" applyFont="1" applyFill="1" applyBorder="1" applyAlignment="1">
      <alignment horizontal="left" vertical="center" wrapText="1"/>
    </xf>
    <xf numFmtId="4" fontId="33" fillId="5" borderId="10" xfId="0" applyNumberFormat="1" applyFont="1" applyFill="1" applyBorder="1" applyAlignment="1">
      <alignment horizontal="left" vertical="center" wrapText="1"/>
    </xf>
    <xf numFmtId="49" fontId="29" fillId="5" borderId="10" xfId="0" applyNumberFormat="1" applyFont="1" applyFill="1" applyBorder="1" applyAlignment="1">
      <alignment horizontal="left" vertical="center"/>
    </xf>
    <xf numFmtId="0" fontId="30" fillId="5" borderId="10" xfId="0" applyFont="1" applyFill="1" applyBorder="1" applyAlignment="1">
      <alignment horizontal="left" vertical="center" wrapText="1"/>
    </xf>
    <xf numFmtId="2" fontId="29" fillId="5" borderId="10" xfId="0" applyNumberFormat="1" applyFont="1" applyFill="1" applyBorder="1" applyAlignment="1">
      <alignment horizontal="left" vertical="center"/>
    </xf>
    <xf numFmtId="0" fontId="29" fillId="5" borderId="10" xfId="0" applyFont="1" applyFill="1" applyBorder="1" applyAlignment="1">
      <alignment horizontal="left" vertical="top"/>
    </xf>
    <xf numFmtId="0" fontId="31" fillId="5" borderId="10" xfId="0" applyFont="1" applyFill="1" applyBorder="1" applyAlignment="1">
      <alignment horizontal="left" vertical="top"/>
    </xf>
    <xf numFmtId="2" fontId="29" fillId="3" borderId="10" xfId="0" applyNumberFormat="1" applyFont="1" applyFill="1" applyBorder="1" applyAlignment="1">
      <alignment horizontal="left" vertical="center"/>
    </xf>
    <xf numFmtId="0" fontId="28" fillId="5" borderId="10" xfId="0" applyFont="1" applyFill="1" applyBorder="1" applyAlignment="1">
      <alignment horizontal="left" vertical="top" wrapText="1"/>
    </xf>
    <xf numFmtId="0" fontId="41" fillId="5" borderId="10" xfId="0" applyFont="1" applyFill="1" applyBorder="1" applyAlignment="1">
      <alignment horizontal="left" vertical="top" wrapText="1"/>
    </xf>
    <xf numFmtId="4" fontId="28" fillId="5" borderId="10" xfId="0" applyNumberFormat="1" applyFont="1" applyFill="1" applyBorder="1" applyAlignment="1">
      <alignment horizontal="right" vertical="center" wrapText="1"/>
    </xf>
    <xf numFmtId="4" fontId="28" fillId="5" borderId="10" xfId="0" applyNumberFormat="1" applyFont="1" applyFill="1" applyBorder="1" applyAlignment="1">
      <alignment horizontal="left" vertical="center" wrapText="1"/>
    </xf>
    <xf numFmtId="0" fontId="28" fillId="5" borderId="10" xfId="0" applyFont="1" applyFill="1" applyBorder="1" applyAlignment="1">
      <alignment horizontal="left" vertical="center"/>
    </xf>
    <xf numFmtId="165" fontId="28" fillId="5" borderId="10" xfId="0" applyNumberFormat="1" applyFont="1" applyFill="1" applyBorder="1" applyAlignment="1">
      <alignment horizontal="left" vertical="center"/>
    </xf>
    <xf numFmtId="0" fontId="28" fillId="5" borderId="10" xfId="0" applyFont="1" applyFill="1" applyBorder="1" applyAlignment="1">
      <alignment horizontal="left" vertical="center" wrapText="1"/>
    </xf>
    <xf numFmtId="0" fontId="29" fillId="3" borderId="10" xfId="0" applyFont="1" applyFill="1" applyBorder="1" applyAlignment="1">
      <alignment horizontal="left" vertical="center"/>
    </xf>
    <xf numFmtId="164" fontId="29" fillId="5" borderId="10" xfId="1" applyFont="1" applyFill="1" applyBorder="1" applyAlignment="1">
      <alignment horizontal="right" vertical="center" wrapText="1"/>
    </xf>
    <xf numFmtId="164" fontId="29" fillId="5" borderId="10" xfId="1" applyFont="1" applyFill="1" applyBorder="1" applyAlignment="1">
      <alignment horizontal="right" vertical="center"/>
    </xf>
    <xf numFmtId="49" fontId="29" fillId="5" borderId="10" xfId="0" quotePrefix="1" applyNumberFormat="1" applyFont="1" applyFill="1" applyBorder="1" applyAlignment="1">
      <alignment horizontal="left" vertical="center"/>
    </xf>
    <xf numFmtId="4" fontId="31" fillId="5" borderId="10" xfId="0" quotePrefix="1" applyNumberFormat="1" applyFont="1" applyFill="1" applyBorder="1" applyAlignment="1">
      <alignment horizontal="right" vertical="center" wrapText="1"/>
    </xf>
    <xf numFmtId="0" fontId="31" fillId="3" borderId="10" xfId="0" applyFont="1" applyFill="1" applyBorder="1" applyAlignment="1">
      <alignment horizontal="left" vertical="top" wrapText="1"/>
    </xf>
    <xf numFmtId="164" fontId="29" fillId="5" borderId="10" xfId="1" applyFont="1" applyFill="1" applyBorder="1" applyAlignment="1">
      <alignment horizontal="left" vertical="center"/>
    </xf>
    <xf numFmtId="0" fontId="32" fillId="3" borderId="10" xfId="0" applyFont="1" applyFill="1" applyBorder="1" applyAlignment="1">
      <alignment horizontal="left" vertical="top" wrapText="1"/>
    </xf>
    <xf numFmtId="4" fontId="29" fillId="5" borderId="10" xfId="0" quotePrefix="1" applyNumberFormat="1" applyFont="1" applyFill="1" applyBorder="1" applyAlignment="1">
      <alignment horizontal="right" vertical="center" wrapText="1"/>
    </xf>
    <xf numFmtId="0" fontId="41" fillId="0" borderId="0" xfId="0" applyFont="1" applyAlignment="1">
      <alignment horizontal="left" vertical="center"/>
    </xf>
    <xf numFmtId="0" fontId="31" fillId="5" borderId="0" xfId="0" applyFont="1" applyFill="1" applyAlignment="1">
      <alignment horizontal="left" vertical="center"/>
    </xf>
    <xf numFmtId="49" fontId="31" fillId="5" borderId="10" xfId="0" applyNumberFormat="1" applyFont="1" applyFill="1" applyBorder="1" applyAlignment="1">
      <alignment horizontal="left" vertical="center"/>
    </xf>
    <xf numFmtId="0" fontId="31" fillId="5" borderId="10" xfId="0" applyFont="1" applyFill="1" applyBorder="1" applyAlignment="1">
      <alignment horizontal="right" vertical="center"/>
    </xf>
    <xf numFmtId="2" fontId="31" fillId="5" borderId="10" xfId="0" applyNumberFormat="1" applyFont="1" applyFill="1" applyBorder="1" applyAlignment="1">
      <alignment horizontal="right" vertical="center"/>
    </xf>
    <xf numFmtId="4" fontId="29" fillId="5" borderId="10" xfId="0" applyNumberFormat="1" applyFont="1" applyFill="1" applyBorder="1" applyAlignment="1">
      <alignment horizontal="right" vertical="center"/>
    </xf>
    <xf numFmtId="0" fontId="36" fillId="5" borderId="10" xfId="0" applyFont="1" applyFill="1" applyBorder="1" applyAlignment="1">
      <alignment horizontal="left" vertical="center"/>
    </xf>
    <xf numFmtId="14" fontId="29" fillId="5" borderId="10" xfId="0" applyNumberFormat="1" applyFont="1" applyFill="1" applyBorder="1" applyAlignment="1">
      <alignment horizontal="left" vertical="center"/>
    </xf>
    <xf numFmtId="166" fontId="31" fillId="5" borderId="10" xfId="0" applyNumberFormat="1" applyFont="1" applyFill="1" applyBorder="1" applyAlignment="1">
      <alignment horizontal="left" vertical="center"/>
    </xf>
    <xf numFmtId="2" fontId="28" fillId="5" borderId="10" xfId="0" applyNumberFormat="1" applyFont="1" applyFill="1" applyBorder="1" applyAlignment="1">
      <alignment horizontal="right" vertical="center"/>
    </xf>
    <xf numFmtId="2" fontId="28" fillId="5" borderId="10" xfId="0" applyNumberFormat="1" applyFont="1" applyFill="1" applyBorder="1" applyAlignment="1">
      <alignment horizontal="left" vertical="center"/>
    </xf>
    <xf numFmtId="167" fontId="28" fillId="5" borderId="10" xfId="0" applyNumberFormat="1" applyFont="1" applyFill="1" applyBorder="1" applyAlignment="1">
      <alignment horizontal="left" vertical="center"/>
    </xf>
    <xf numFmtId="49" fontId="41" fillId="5" borderId="10" xfId="0" applyNumberFormat="1" applyFont="1" applyFill="1" applyBorder="1" applyAlignment="1">
      <alignment horizontal="left" vertical="center" wrapText="1"/>
    </xf>
    <xf numFmtId="4" fontId="41" fillId="5" borderId="10" xfId="0" applyNumberFormat="1" applyFont="1" applyFill="1" applyBorder="1" applyAlignment="1">
      <alignment horizontal="right" vertical="center" wrapText="1"/>
    </xf>
    <xf numFmtId="4" fontId="42" fillId="5" borderId="10" xfId="0" applyNumberFormat="1" applyFont="1" applyFill="1" applyBorder="1" applyAlignment="1">
      <alignment horizontal="left" vertical="center" wrapText="1"/>
    </xf>
    <xf numFmtId="0" fontId="41" fillId="5" borderId="10" xfId="0" applyFont="1" applyFill="1" applyBorder="1" applyAlignment="1">
      <alignment horizontal="left" vertical="center"/>
    </xf>
    <xf numFmtId="165" fontId="41" fillId="5" borderId="10" xfId="0" applyNumberFormat="1" applyFont="1" applyFill="1" applyBorder="1" applyAlignment="1">
      <alignment horizontal="left" vertical="center"/>
    </xf>
    <xf numFmtId="49" fontId="28" fillId="5" borderId="10" xfId="0" applyNumberFormat="1" applyFont="1" applyFill="1" applyBorder="1" applyAlignment="1">
      <alignment horizontal="left" vertical="center"/>
    </xf>
    <xf numFmtId="0" fontId="28" fillId="5" borderId="10" xfId="0" applyFont="1" applyFill="1" applyBorder="1" applyAlignment="1">
      <alignment horizontal="left" vertical="top"/>
    </xf>
    <xf numFmtId="0" fontId="41" fillId="5" borderId="10" xfId="0" applyFont="1" applyFill="1" applyBorder="1" applyAlignment="1">
      <alignment horizontal="left" vertical="top"/>
    </xf>
    <xf numFmtId="164" fontId="28" fillId="5" borderId="10" xfId="1" applyFont="1" applyFill="1" applyBorder="1" applyAlignment="1">
      <alignment horizontal="right" vertical="center"/>
    </xf>
    <xf numFmtId="0" fontId="28" fillId="5" borderId="10" xfId="0" applyFont="1" applyFill="1" applyBorder="1" applyAlignment="1">
      <alignment horizontal="right" vertical="center"/>
    </xf>
    <xf numFmtId="0" fontId="43" fillId="5" borderId="10" xfId="0" applyFont="1" applyFill="1" applyBorder="1" applyAlignment="1">
      <alignment horizontal="left" vertical="center"/>
    </xf>
    <xf numFmtId="0" fontId="42" fillId="5" borderId="10" xfId="0" applyFont="1" applyFill="1" applyBorder="1" applyAlignment="1">
      <alignment horizontal="left" vertical="center" wrapText="1"/>
    </xf>
    <xf numFmtId="4" fontId="29" fillId="5" borderId="10" xfId="0" quotePrefix="1" applyNumberFormat="1" applyFont="1" applyFill="1" applyBorder="1" applyAlignment="1">
      <alignment horizontal="left" vertical="center" wrapText="1"/>
    </xf>
    <xf numFmtId="166" fontId="29" fillId="5" borderId="10" xfId="0" quotePrefix="1" applyNumberFormat="1" applyFont="1" applyFill="1" applyBorder="1" applyAlignment="1">
      <alignment horizontal="left" vertical="center" wrapText="1"/>
    </xf>
    <xf numFmtId="0" fontId="29" fillId="5" borderId="10" xfId="0" applyFont="1" applyFill="1" applyBorder="1" applyAlignment="1">
      <alignment horizontal="left" vertical="center" indent="2"/>
    </xf>
    <xf numFmtId="165" fontId="31" fillId="5" borderId="10" xfId="0" applyNumberFormat="1" applyFont="1" applyFill="1" applyBorder="1" applyAlignment="1">
      <alignment horizontal="left" vertical="center" wrapText="1"/>
    </xf>
    <xf numFmtId="0" fontId="33" fillId="5" borderId="15" xfId="0" applyFont="1" applyFill="1" applyBorder="1" applyAlignment="1">
      <alignment horizontal="left" vertical="center" wrapText="1"/>
    </xf>
    <xf numFmtId="15" fontId="29" fillId="5" borderId="15" xfId="0" applyNumberFormat="1" applyFont="1" applyFill="1" applyBorder="1" applyAlignment="1">
      <alignment horizontal="left" vertical="center"/>
    </xf>
    <xf numFmtId="2" fontId="29" fillId="5" borderId="10" xfId="0" quotePrefix="1" applyNumberFormat="1" applyFont="1" applyFill="1" applyBorder="1" applyAlignment="1">
      <alignment horizontal="right" vertical="center"/>
    </xf>
    <xf numFmtId="2" fontId="29" fillId="5" borderId="10" xfId="0" quotePrefix="1" applyNumberFormat="1" applyFont="1" applyFill="1" applyBorder="1" applyAlignment="1">
      <alignment horizontal="left" vertical="center"/>
    </xf>
    <xf numFmtId="0" fontId="33" fillId="17" borderId="10" xfId="0" applyFont="1" applyFill="1" applyBorder="1" applyAlignment="1">
      <alignment vertical="center"/>
    </xf>
    <xf numFmtId="0" fontId="32" fillId="14" borderId="10" xfId="0" applyFont="1" applyFill="1" applyBorder="1" applyAlignment="1">
      <alignment horizontal="left" vertical="top" wrapText="1"/>
    </xf>
    <xf numFmtId="15" fontId="33" fillId="17" borderId="10" xfId="0" applyNumberFormat="1" applyFont="1" applyFill="1" applyBorder="1" applyAlignment="1">
      <alignment horizontal="center" vertical="center"/>
    </xf>
    <xf numFmtId="15" fontId="33" fillId="17" borderId="10" xfId="0" applyNumberFormat="1" applyFont="1" applyFill="1" applyBorder="1" applyAlignment="1">
      <alignment horizontal="left" vertical="center"/>
    </xf>
    <xf numFmtId="49" fontId="35" fillId="16" borderId="10" xfId="0" applyNumberFormat="1" applyFont="1" applyFill="1" applyBorder="1" applyAlignment="1">
      <alignment horizontal="left"/>
    </xf>
    <xf numFmtId="2" fontId="29" fillId="17" borderId="10" xfId="0" applyNumberFormat="1" applyFont="1" applyFill="1" applyBorder="1" applyAlignment="1">
      <alignment horizontal="right"/>
    </xf>
    <xf numFmtId="0" fontId="29" fillId="17" borderId="10" xfId="0" quotePrefix="1" applyFont="1" applyFill="1" applyBorder="1" applyAlignment="1">
      <alignment horizontal="left"/>
    </xf>
    <xf numFmtId="0" fontId="29" fillId="17" borderId="10" xfId="0" applyFont="1" applyFill="1" applyBorder="1" applyAlignment="1">
      <alignment horizontal="left"/>
    </xf>
    <xf numFmtId="0" fontId="33" fillId="17" borderId="10" xfId="0" applyFont="1" applyFill="1" applyBorder="1" applyAlignment="1">
      <alignment horizontal="right" vertical="center"/>
    </xf>
    <xf numFmtId="0" fontId="33" fillId="17" borderId="10" xfId="0" applyFont="1" applyFill="1" applyBorder="1" applyAlignment="1">
      <alignment horizontal="right"/>
    </xf>
    <xf numFmtId="4" fontId="29" fillId="17" borderId="10" xfId="0" applyNumberFormat="1" applyFont="1" applyFill="1" applyBorder="1" applyAlignment="1">
      <alignment horizontal="right" vertical="center"/>
    </xf>
    <xf numFmtId="0" fontId="33" fillId="17" borderId="10" xfId="0" applyFont="1" applyFill="1" applyBorder="1" applyAlignment="1">
      <alignment vertical="top" wrapText="1"/>
    </xf>
    <xf numFmtId="0" fontId="33" fillId="17" borderId="10" xfId="0" applyFont="1" applyFill="1" applyBorder="1" applyAlignment="1">
      <alignment horizontal="left" vertical="top" wrapText="1"/>
    </xf>
    <xf numFmtId="4" fontId="33" fillId="17" borderId="10" xfId="0" applyNumberFormat="1" applyFont="1" applyFill="1" applyBorder="1" applyAlignment="1">
      <alignment horizontal="left" vertical="center" wrapText="1"/>
    </xf>
    <xf numFmtId="4" fontId="33" fillId="17" borderId="10" xfId="0" applyNumberFormat="1" applyFont="1" applyFill="1" applyBorder="1" applyAlignment="1">
      <alignment horizontal="right" vertical="center" wrapText="1"/>
    </xf>
    <xf numFmtId="1" fontId="33" fillId="17" borderId="10" xfId="0" applyNumberFormat="1" applyFont="1" applyFill="1" applyBorder="1" applyAlignment="1">
      <alignment horizontal="right" vertical="center"/>
    </xf>
    <xf numFmtId="49" fontId="29" fillId="17" borderId="10" xfId="0" quotePrefix="1" applyNumberFormat="1" applyFont="1" applyFill="1" applyBorder="1" applyAlignment="1">
      <alignment horizontal="left" vertical="center"/>
    </xf>
    <xf numFmtId="2" fontId="29" fillId="17" borderId="10" xfId="0" quotePrefix="1" applyNumberFormat="1" applyFont="1" applyFill="1" applyBorder="1" applyAlignment="1">
      <alignment horizontal="right" vertical="center"/>
    </xf>
    <xf numFmtId="2" fontId="29" fillId="17" borderId="10" xfId="0" quotePrefix="1" applyNumberFormat="1" applyFont="1" applyFill="1" applyBorder="1" applyAlignment="1">
      <alignment horizontal="left" vertical="center"/>
    </xf>
    <xf numFmtId="166" fontId="29" fillId="17" borderId="10" xfId="0" applyNumberFormat="1" applyFont="1" applyFill="1" applyBorder="1" applyAlignment="1">
      <alignment horizontal="left" vertical="center" wrapText="1"/>
    </xf>
    <xf numFmtId="165" fontId="29" fillId="17" borderId="10" xfId="0" applyNumberFormat="1" applyFont="1" applyFill="1" applyBorder="1" applyAlignment="1">
      <alignment vertical="center"/>
    </xf>
    <xf numFmtId="2" fontId="29" fillId="17" borderId="10" xfId="0" applyNumberFormat="1" applyFont="1" applyFill="1" applyBorder="1" applyAlignment="1">
      <alignment horizontal="left"/>
    </xf>
    <xf numFmtId="0" fontId="33" fillId="17" borderId="11" xfId="0" applyFont="1" applyFill="1" applyBorder="1" applyAlignment="1">
      <alignment horizontal="left" vertical="center"/>
    </xf>
    <xf numFmtId="49" fontId="29" fillId="5" borderId="11" xfId="0" applyNumberFormat="1" applyFont="1" applyFill="1" applyBorder="1" applyAlignment="1">
      <alignment horizontal="left" vertical="center"/>
    </xf>
    <xf numFmtId="0" fontId="29" fillId="5" borderId="10" xfId="0" applyFont="1" applyFill="1" applyBorder="1" applyAlignment="1">
      <alignment vertical="center"/>
    </xf>
    <xf numFmtId="15" fontId="33" fillId="5" borderId="10" xfId="0" applyNumberFormat="1" applyFont="1" applyFill="1" applyBorder="1" applyAlignment="1">
      <alignment horizontal="left" vertical="center"/>
    </xf>
    <xf numFmtId="49" fontId="29" fillId="17" borderId="11" xfId="0" applyNumberFormat="1" applyFont="1" applyFill="1" applyBorder="1" applyAlignment="1">
      <alignment horizontal="left" vertical="center"/>
    </xf>
    <xf numFmtId="0" fontId="29" fillId="17" borderId="10" xfId="0" applyFont="1" applyFill="1" applyBorder="1" applyAlignment="1">
      <alignment horizontal="right" vertical="center" wrapText="1"/>
    </xf>
    <xf numFmtId="0" fontId="31" fillId="14" borderId="10" xfId="0" applyFont="1" applyFill="1" applyBorder="1" applyAlignment="1">
      <alignment horizontal="left" vertical="center"/>
    </xf>
    <xf numFmtId="3" fontId="29" fillId="17" borderId="10" xfId="0" applyNumberFormat="1" applyFont="1" applyFill="1" applyBorder="1" applyAlignment="1">
      <alignment horizontal="left" vertical="center" wrapText="1"/>
    </xf>
    <xf numFmtId="0" fontId="33" fillId="17" borderId="10" xfId="0" applyFont="1" applyFill="1" applyBorder="1" applyAlignment="1">
      <alignment horizontal="center" vertical="center"/>
    </xf>
    <xf numFmtId="0" fontId="29" fillId="17" borderId="11" xfId="0" quotePrefix="1" applyFont="1" applyFill="1" applyBorder="1" applyAlignment="1">
      <alignment horizontal="left"/>
    </xf>
    <xf numFmtId="0" fontId="29" fillId="17" borderId="11" xfId="0" applyFont="1" applyFill="1" applyBorder="1" applyAlignment="1">
      <alignment horizontal="left"/>
    </xf>
    <xf numFmtId="0" fontId="29" fillId="17" borderId="11" xfId="0" quotePrefix="1" applyFont="1" applyFill="1" applyBorder="1" applyAlignment="1">
      <alignment horizontal="left" vertical="center"/>
    </xf>
    <xf numFmtId="0" fontId="32" fillId="17" borderId="10" xfId="0" applyFont="1" applyFill="1" applyBorder="1" applyAlignment="1">
      <alignment horizontal="left" vertical="center" wrapText="1"/>
    </xf>
    <xf numFmtId="165" fontId="30" fillId="17" borderId="10" xfId="0" applyNumberFormat="1" applyFont="1" applyFill="1" applyBorder="1" applyAlignment="1">
      <alignment horizontal="left" vertical="center"/>
    </xf>
    <xf numFmtId="0" fontId="30" fillId="17" borderId="10" xfId="0" applyFont="1" applyFill="1" applyBorder="1" applyAlignment="1">
      <alignment horizontal="left" vertical="center" wrapText="1"/>
    </xf>
    <xf numFmtId="166" fontId="30" fillId="17" borderId="10" xfId="0" applyNumberFormat="1" applyFont="1" applyFill="1" applyBorder="1" applyAlignment="1">
      <alignment horizontal="left" vertical="center" wrapText="1"/>
    </xf>
    <xf numFmtId="0" fontId="29" fillId="17" borderId="11" xfId="0" applyFont="1" applyFill="1" applyBorder="1" applyAlignment="1">
      <alignment horizontal="left" vertical="center"/>
    </xf>
    <xf numFmtId="49" fontId="35" fillId="16" borderId="11" xfId="0" applyNumberFormat="1" applyFont="1" applyFill="1" applyBorder="1" applyAlignment="1">
      <alignment horizontal="left"/>
    </xf>
    <xf numFmtId="2" fontId="29" fillId="17" borderId="19" xfId="0" applyNumberFormat="1" applyFont="1" applyFill="1" applyBorder="1" applyAlignment="1">
      <alignment horizontal="right"/>
    </xf>
    <xf numFmtId="0" fontId="29" fillId="17" borderId="19" xfId="0" applyFont="1" applyFill="1" applyBorder="1" applyAlignment="1">
      <alignment horizontal="left" vertical="center"/>
    </xf>
    <xf numFmtId="165" fontId="29" fillId="17" borderId="19" xfId="0" applyNumberFormat="1" applyFont="1" applyFill="1" applyBorder="1" applyAlignment="1">
      <alignment horizontal="left" vertical="center"/>
    </xf>
    <xf numFmtId="166" fontId="29" fillId="17" borderId="19" xfId="0" applyNumberFormat="1" applyFont="1" applyFill="1" applyBorder="1" applyAlignment="1">
      <alignment horizontal="left" vertical="center"/>
    </xf>
    <xf numFmtId="49" fontId="35" fillId="17" borderId="11" xfId="0" applyNumberFormat="1" applyFont="1" applyFill="1" applyBorder="1" applyAlignment="1">
      <alignment horizontal="left"/>
    </xf>
    <xf numFmtId="0" fontId="32" fillId="15" borderId="10" xfId="0" applyFont="1" applyFill="1" applyBorder="1" applyAlignment="1">
      <alignment horizontal="left" vertical="top" wrapText="1"/>
    </xf>
    <xf numFmtId="0" fontId="33" fillId="5" borderId="10" xfId="0" applyFont="1" applyFill="1" applyBorder="1" applyAlignment="1">
      <alignment horizontal="right" vertical="center"/>
    </xf>
    <xf numFmtId="0" fontId="33" fillId="5" borderId="11" xfId="0" applyFont="1" applyFill="1" applyBorder="1" applyAlignment="1">
      <alignment horizontal="left" vertical="center" wrapText="1"/>
    </xf>
    <xf numFmtId="0" fontId="32" fillId="5" borderId="10" xfId="0" applyFont="1" applyFill="1" applyBorder="1" applyAlignment="1">
      <alignment horizontal="left" vertical="center" wrapText="1"/>
    </xf>
    <xf numFmtId="49" fontId="35" fillId="5" borderId="10" xfId="0" applyNumberFormat="1" applyFont="1" applyFill="1" applyBorder="1"/>
    <xf numFmtId="0" fontId="29" fillId="3" borderId="0" xfId="0" applyFont="1" applyFill="1" applyAlignment="1">
      <alignment horizontal="left" vertical="center"/>
    </xf>
    <xf numFmtId="164" fontId="29" fillId="5" borderId="10" xfId="1" applyFont="1" applyFill="1" applyBorder="1" applyAlignment="1">
      <alignment horizontal="left" vertical="center" wrapText="1"/>
    </xf>
    <xf numFmtId="164" fontId="33" fillId="5" borderId="10" xfId="1" applyFont="1" applyFill="1" applyBorder="1" applyAlignment="1">
      <alignment horizontal="right" vertical="center" wrapText="1"/>
    </xf>
    <xf numFmtId="164" fontId="33" fillId="5" borderId="10" xfId="1" applyFont="1" applyFill="1" applyBorder="1" applyAlignment="1">
      <alignment horizontal="left" vertical="center" wrapText="1"/>
    </xf>
    <xf numFmtId="4" fontId="33" fillId="5" borderId="10" xfId="0" quotePrefix="1" applyNumberFormat="1" applyFont="1" applyFill="1" applyBorder="1" applyAlignment="1">
      <alignment horizontal="right" vertical="center" wrapText="1"/>
    </xf>
    <xf numFmtId="4" fontId="33" fillId="4" borderId="10" xfId="0" applyNumberFormat="1" applyFont="1" applyFill="1" applyBorder="1" applyAlignment="1">
      <alignment horizontal="left" vertical="center" wrapText="1"/>
    </xf>
    <xf numFmtId="0" fontId="29" fillId="2" borderId="0" xfId="0" applyFont="1" applyFill="1" applyAlignment="1">
      <alignment horizontal="left" vertical="center"/>
    </xf>
    <xf numFmtId="49" fontId="28" fillId="5" borderId="15" xfId="0" applyNumberFormat="1" applyFont="1" applyFill="1" applyBorder="1" applyAlignment="1">
      <alignment horizontal="left" vertical="center" wrapText="1"/>
    </xf>
    <xf numFmtId="0" fontId="33" fillId="5" borderId="15" xfId="0" applyFont="1" applyFill="1" applyBorder="1" applyAlignment="1">
      <alignment horizontal="left" vertical="top" wrapText="1"/>
    </xf>
    <xf numFmtId="0" fontId="32" fillId="5" borderId="15" xfId="0" applyFont="1" applyFill="1" applyBorder="1" applyAlignment="1">
      <alignment horizontal="left" vertical="top" wrapText="1"/>
    </xf>
    <xf numFmtId="4" fontId="33" fillId="5" borderId="15" xfId="0" applyNumberFormat="1" applyFont="1" applyFill="1" applyBorder="1" applyAlignment="1">
      <alignment horizontal="right" vertical="center" wrapText="1"/>
    </xf>
    <xf numFmtId="4" fontId="33" fillId="5" borderId="15" xfId="0" applyNumberFormat="1" applyFont="1" applyFill="1" applyBorder="1" applyAlignment="1">
      <alignment horizontal="left" vertical="center" wrapText="1"/>
    </xf>
    <xf numFmtId="0" fontId="31" fillId="5" borderId="15" xfId="0" applyFont="1" applyFill="1" applyBorder="1" applyAlignment="1">
      <alignment horizontal="left" vertical="top"/>
    </xf>
    <xf numFmtId="0" fontId="33" fillId="5" borderId="11" xfId="0" applyFont="1" applyFill="1" applyBorder="1" applyAlignment="1">
      <alignment horizontal="left" vertical="top" wrapText="1"/>
    </xf>
    <xf numFmtId="0" fontId="29" fillId="5" borderId="13" xfId="0" applyFont="1" applyFill="1" applyBorder="1" applyAlignment="1">
      <alignment horizontal="left" vertical="center"/>
    </xf>
    <xf numFmtId="165" fontId="29" fillId="5" borderId="10" xfId="0" applyNumberFormat="1" applyFont="1" applyFill="1" applyBorder="1" applyAlignment="1">
      <alignment horizontal="left" vertical="center" wrapText="1"/>
    </xf>
    <xf numFmtId="49" fontId="29" fillId="5" borderId="15" xfId="0" applyNumberFormat="1" applyFont="1" applyFill="1" applyBorder="1" applyAlignment="1">
      <alignment horizontal="left" vertical="center"/>
    </xf>
    <xf numFmtId="0" fontId="29" fillId="5" borderId="15" xfId="0" applyFont="1" applyFill="1" applyBorder="1" applyAlignment="1">
      <alignment horizontal="left" vertical="center" wrapText="1"/>
    </xf>
    <xf numFmtId="0" fontId="33" fillId="5" borderId="13" xfId="0" applyFont="1" applyFill="1" applyBorder="1" applyAlignment="1">
      <alignment horizontal="left" vertical="top" wrapText="1"/>
    </xf>
    <xf numFmtId="4" fontId="33" fillId="5" borderId="10" xfId="0" quotePrefix="1" applyNumberFormat="1" applyFont="1" applyFill="1" applyBorder="1" applyAlignment="1">
      <alignment horizontal="left" vertical="center" wrapText="1"/>
    </xf>
    <xf numFmtId="0" fontId="29" fillId="5" borderId="12" xfId="0" applyFont="1" applyFill="1" applyBorder="1" applyAlignment="1">
      <alignment horizontal="left" vertical="center"/>
    </xf>
    <xf numFmtId="0" fontId="29" fillId="5" borderId="16" xfId="0" applyFont="1" applyFill="1" applyBorder="1" applyAlignment="1">
      <alignment horizontal="left" vertical="center"/>
    </xf>
    <xf numFmtId="49" fontId="29" fillId="5" borderId="16" xfId="0" applyNumberFormat="1" applyFont="1" applyFill="1" applyBorder="1" applyAlignment="1">
      <alignment horizontal="left" vertical="center"/>
    </xf>
    <xf numFmtId="0" fontId="33" fillId="5" borderId="16" xfId="0" applyFont="1" applyFill="1" applyBorder="1" applyAlignment="1">
      <alignment horizontal="left" vertical="top" wrapText="1"/>
    </xf>
    <xf numFmtId="0" fontId="32" fillId="5" borderId="16" xfId="0" applyFont="1" applyFill="1" applyBorder="1" applyAlignment="1">
      <alignment horizontal="left" vertical="top" wrapText="1"/>
    </xf>
    <xf numFmtId="4" fontId="33" fillId="5" borderId="16" xfId="0" applyNumberFormat="1" applyFont="1" applyFill="1" applyBorder="1" applyAlignment="1">
      <alignment horizontal="right" vertical="center" wrapText="1"/>
    </xf>
    <xf numFmtId="4" fontId="33" fillId="5" borderId="16" xfId="0" applyNumberFormat="1" applyFont="1" applyFill="1" applyBorder="1" applyAlignment="1">
      <alignment horizontal="left" vertical="center" wrapText="1"/>
    </xf>
    <xf numFmtId="165" fontId="29" fillId="5" borderId="16" xfId="0" applyNumberFormat="1" applyFont="1" applyFill="1" applyBorder="1" applyAlignment="1">
      <alignment horizontal="left" vertical="center"/>
    </xf>
    <xf numFmtId="15" fontId="29" fillId="5" borderId="16" xfId="0" applyNumberFormat="1" applyFont="1" applyFill="1" applyBorder="1" applyAlignment="1">
      <alignment horizontal="left" vertical="center"/>
    </xf>
    <xf numFmtId="49" fontId="28" fillId="5" borderId="16" xfId="0" applyNumberFormat="1" applyFont="1" applyFill="1" applyBorder="1" applyAlignment="1">
      <alignment horizontal="left" vertical="center" wrapText="1"/>
    </xf>
    <xf numFmtId="49" fontId="28" fillId="5" borderId="17" xfId="0" applyNumberFormat="1" applyFont="1" applyFill="1" applyBorder="1" applyAlignment="1">
      <alignment horizontal="left" vertical="center" wrapText="1"/>
    </xf>
    <xf numFmtId="0" fontId="33" fillId="5" borderId="17" xfId="0" applyFont="1" applyFill="1" applyBorder="1" applyAlignment="1">
      <alignment horizontal="left" vertical="top" wrapText="1"/>
    </xf>
    <xf numFmtId="0" fontId="32" fillId="5" borderId="17" xfId="0" applyFont="1" applyFill="1" applyBorder="1" applyAlignment="1">
      <alignment horizontal="left" vertical="top" wrapText="1"/>
    </xf>
    <xf numFmtId="4" fontId="33" fillId="5" borderId="17" xfId="0" applyNumberFormat="1" applyFont="1" applyFill="1" applyBorder="1" applyAlignment="1">
      <alignment horizontal="right" vertical="center" wrapText="1"/>
    </xf>
    <xf numFmtId="4" fontId="33" fillId="5" borderId="17" xfId="0" applyNumberFormat="1" applyFont="1" applyFill="1" applyBorder="1" applyAlignment="1">
      <alignment horizontal="left" vertical="center" wrapText="1"/>
    </xf>
    <xf numFmtId="0" fontId="29" fillId="5" borderId="17" xfId="0" applyFont="1" applyFill="1" applyBorder="1" applyAlignment="1">
      <alignment horizontal="left" vertical="center"/>
    </xf>
    <xf numFmtId="165" fontId="29" fillId="5" borderId="17" xfId="0" applyNumberFormat="1" applyFont="1" applyFill="1" applyBorder="1" applyAlignment="1">
      <alignment horizontal="left" vertical="center"/>
    </xf>
    <xf numFmtId="0" fontId="33" fillId="5" borderId="10" xfId="0" applyFont="1" applyFill="1" applyBorder="1" applyAlignment="1">
      <alignment vertical="center"/>
    </xf>
    <xf numFmtId="0" fontId="32" fillId="5" borderId="0" xfId="0" applyFont="1" applyFill="1" applyAlignment="1">
      <alignment horizontal="left" vertical="top" wrapText="1"/>
    </xf>
    <xf numFmtId="0" fontId="31" fillId="5" borderId="0" xfId="0" applyFont="1" applyFill="1" applyAlignment="1">
      <alignment horizontal="left" vertical="top"/>
    </xf>
    <xf numFmtId="0" fontId="32" fillId="5" borderId="13" xfId="0" applyFont="1" applyFill="1" applyBorder="1" applyAlignment="1">
      <alignment horizontal="left" vertical="top" wrapText="1"/>
    </xf>
    <xf numFmtId="0" fontId="31" fillId="5" borderId="13" xfId="0" applyFont="1" applyFill="1" applyBorder="1" applyAlignment="1">
      <alignment horizontal="left" vertical="center"/>
    </xf>
    <xf numFmtId="0" fontId="36" fillId="5" borderId="10" xfId="0" applyFont="1" applyFill="1" applyBorder="1" applyAlignment="1">
      <alignment horizontal="left" vertical="top" wrapText="1"/>
    </xf>
    <xf numFmtId="14" fontId="29" fillId="5" borderId="15" xfId="0" applyNumberFormat="1" applyFont="1" applyFill="1" applyBorder="1" applyAlignment="1">
      <alignment horizontal="left" vertical="center"/>
    </xf>
    <xf numFmtId="0" fontId="31" fillId="5" borderId="0" xfId="0" applyFont="1" applyFill="1" applyAlignment="1">
      <alignment horizontal="left" vertical="center" wrapText="1"/>
    </xf>
    <xf numFmtId="0" fontId="31" fillId="5" borderId="0" xfId="0" applyFont="1" applyFill="1" applyAlignment="1">
      <alignment horizontal="left" vertical="top" wrapText="1"/>
    </xf>
    <xf numFmtId="14" fontId="33" fillId="0" borderId="10" xfId="0" applyNumberFormat="1" applyFont="1" applyBorder="1" applyAlignment="1">
      <alignment horizontal="center" vertical="center"/>
    </xf>
    <xf numFmtId="2" fontId="29" fillId="0" borderId="0" xfId="0" applyNumberFormat="1" applyFont="1" applyAlignment="1">
      <alignment horizontal="left" vertical="center"/>
    </xf>
    <xf numFmtId="0" fontId="29" fillId="5" borderId="10" xfId="0" quotePrefix="1" applyFont="1" applyFill="1" applyBorder="1" applyAlignment="1">
      <alignment horizontal="left" vertical="center"/>
    </xf>
    <xf numFmtId="0" fontId="30" fillId="5" borderId="10" xfId="0" applyFont="1" applyFill="1" applyBorder="1" applyAlignment="1">
      <alignment horizontal="left" vertical="center"/>
    </xf>
    <xf numFmtId="0" fontId="30" fillId="5" borderId="10" xfId="0" applyFont="1" applyFill="1" applyBorder="1" applyAlignment="1">
      <alignment vertical="center" wrapText="1"/>
    </xf>
    <xf numFmtId="0" fontId="32" fillId="5" borderId="19" xfId="0" applyFont="1" applyFill="1" applyBorder="1" applyAlignment="1">
      <alignment horizontal="left" vertical="top" wrapText="1"/>
    </xf>
    <xf numFmtId="0" fontId="35" fillId="5" borderId="10" xfId="0" applyFont="1" applyFill="1" applyBorder="1" applyAlignment="1">
      <alignment vertical="center"/>
    </xf>
    <xf numFmtId="0" fontId="35" fillId="5" borderId="10" xfId="0" applyFont="1" applyFill="1" applyBorder="1" applyAlignment="1">
      <alignment horizontal="left" vertical="center"/>
    </xf>
    <xf numFmtId="0" fontId="29" fillId="5" borderId="15" xfId="0" applyFont="1" applyFill="1" applyBorder="1" applyAlignment="1">
      <alignment horizontal="right" vertical="center"/>
    </xf>
    <xf numFmtId="2" fontId="31" fillId="5" borderId="10" xfId="0" applyNumberFormat="1" applyFont="1" applyFill="1" applyBorder="1" applyAlignment="1">
      <alignment horizontal="left" vertical="center"/>
    </xf>
    <xf numFmtId="165" fontId="29" fillId="0" borderId="10" xfId="0" quotePrefix="1" applyNumberFormat="1" applyFont="1" applyBorder="1" applyAlignment="1">
      <alignment horizontal="left" vertical="center"/>
    </xf>
    <xf numFmtId="0" fontId="29" fillId="5" borderId="19" xfId="0" applyFont="1" applyFill="1" applyBorder="1" applyAlignment="1">
      <alignment horizontal="left" vertical="center"/>
    </xf>
    <xf numFmtId="16" fontId="29" fillId="5" borderId="10" xfId="0" applyNumberFormat="1" applyFont="1" applyFill="1" applyBorder="1" applyAlignment="1">
      <alignment horizontal="left" vertical="center"/>
    </xf>
    <xf numFmtId="166" fontId="29" fillId="5" borderId="19" xfId="0" applyNumberFormat="1" applyFont="1" applyFill="1" applyBorder="1" applyAlignment="1">
      <alignment horizontal="left" vertical="center"/>
    </xf>
    <xf numFmtId="0" fontId="33" fillId="5" borderId="10" xfId="0" quotePrefix="1" applyFont="1" applyFill="1" applyBorder="1" applyAlignment="1">
      <alignment horizontal="left" vertical="center"/>
    </xf>
    <xf numFmtId="49" fontId="30" fillId="5" borderId="10" xfId="0" applyNumberFormat="1" applyFont="1" applyFill="1" applyBorder="1" applyAlignment="1">
      <alignment horizontal="left" vertical="center"/>
    </xf>
    <xf numFmtId="2" fontId="30" fillId="5" borderId="10" xfId="0" applyNumberFormat="1" applyFont="1" applyFill="1" applyBorder="1" applyAlignment="1">
      <alignment horizontal="right" vertical="center"/>
    </xf>
    <xf numFmtId="2" fontId="33" fillId="5" borderId="10" xfId="0" applyNumberFormat="1" applyFont="1" applyFill="1" applyBorder="1" applyAlignment="1">
      <alignment horizontal="left" vertical="center"/>
    </xf>
    <xf numFmtId="0" fontId="30" fillId="5" borderId="10" xfId="0" applyFont="1" applyFill="1" applyBorder="1" applyAlignment="1">
      <alignment vertical="center"/>
    </xf>
    <xf numFmtId="16" fontId="30" fillId="5" borderId="10" xfId="0" quotePrefix="1" applyNumberFormat="1" applyFont="1" applyFill="1" applyBorder="1" applyAlignment="1">
      <alignment horizontal="left" vertical="center"/>
    </xf>
    <xf numFmtId="0" fontId="38" fillId="5" borderId="10" xfId="0" applyFont="1" applyFill="1" applyBorder="1" applyAlignment="1">
      <alignment horizontal="center" vertical="center"/>
    </xf>
    <xf numFmtId="0" fontId="34" fillId="5" borderId="10" xfId="0" applyFont="1" applyFill="1" applyBorder="1" applyAlignment="1">
      <alignment horizontal="left" vertical="center"/>
    </xf>
    <xf numFmtId="15" fontId="34" fillId="5" borderId="10" xfId="0" applyNumberFormat="1" applyFont="1" applyFill="1" applyBorder="1" applyAlignment="1">
      <alignment horizontal="left" vertical="center"/>
    </xf>
    <xf numFmtId="0" fontId="38" fillId="5" borderId="10" xfId="0" applyFont="1" applyFill="1" applyBorder="1" applyAlignment="1">
      <alignment horizontal="left" vertical="center"/>
    </xf>
    <xf numFmtId="0" fontId="29" fillId="5" borderId="10" xfId="0" applyFont="1" applyFill="1" applyBorder="1"/>
    <xf numFmtId="0" fontId="32" fillId="5" borderId="10" xfId="0" applyFont="1" applyFill="1" applyBorder="1" applyAlignment="1">
      <alignment horizontal="center" vertical="center"/>
    </xf>
    <xf numFmtId="0" fontId="33" fillId="5" borderId="10" xfId="0" applyFont="1" applyFill="1" applyBorder="1" applyAlignment="1">
      <alignment horizontal="center" vertical="center"/>
    </xf>
    <xf numFmtId="0" fontId="29" fillId="5" borderId="10" xfId="0" applyFont="1" applyFill="1" applyBorder="1" applyAlignment="1">
      <alignment vertical="center" wrapText="1"/>
    </xf>
    <xf numFmtId="168" fontId="29" fillId="5" borderId="10" xfId="0" applyNumberFormat="1" applyFont="1" applyFill="1" applyBorder="1" applyAlignment="1">
      <alignment horizontal="right" vertical="center"/>
    </xf>
    <xf numFmtId="168" fontId="30" fillId="5" borderId="10" xfId="0" applyNumberFormat="1" applyFont="1" applyFill="1" applyBorder="1" applyAlignment="1">
      <alignment horizontal="right" vertical="center"/>
    </xf>
    <xf numFmtId="165" fontId="30" fillId="5" borderId="10" xfId="0" applyNumberFormat="1" applyFont="1" applyFill="1" applyBorder="1" applyAlignment="1">
      <alignment horizontal="left" vertical="center"/>
    </xf>
    <xf numFmtId="166" fontId="30" fillId="5" borderId="10" xfId="0" applyNumberFormat="1" applyFont="1" applyFill="1" applyBorder="1" applyAlignment="1">
      <alignment horizontal="left" vertical="center"/>
    </xf>
    <xf numFmtId="0" fontId="30" fillId="5" borderId="10" xfId="0" applyFont="1" applyFill="1" applyBorder="1" applyAlignment="1">
      <alignment horizontal="right" vertical="center"/>
    </xf>
    <xf numFmtId="0" fontId="31" fillId="22" borderId="10" xfId="0" applyFont="1" applyFill="1" applyBorder="1" applyAlignment="1">
      <alignment horizontal="left" vertical="center"/>
    </xf>
    <xf numFmtId="0" fontId="31" fillId="22" borderId="10" xfId="0" applyFont="1" applyFill="1" applyBorder="1" applyAlignment="1">
      <alignment horizontal="left" vertical="top" wrapText="1"/>
    </xf>
    <xf numFmtId="2" fontId="32" fillId="0" borderId="10" xfId="0" applyNumberFormat="1" applyFont="1" applyBorder="1" applyAlignment="1">
      <alignment horizontal="right" vertical="center"/>
    </xf>
    <xf numFmtId="164" fontId="44" fillId="0" borderId="10" xfId="1" applyFont="1" applyFill="1" applyBorder="1" applyAlignment="1">
      <alignment horizontal="left" vertical="center" wrapText="1"/>
    </xf>
    <xf numFmtId="164" fontId="44" fillId="0" borderId="10" xfId="1" applyFont="1" applyFill="1" applyBorder="1" applyAlignment="1">
      <alignment horizontal="left" vertical="center"/>
    </xf>
    <xf numFmtId="164" fontId="44" fillId="0" borderId="10" xfId="1" applyFont="1" applyFill="1" applyBorder="1" applyAlignment="1">
      <alignment horizontal="left"/>
    </xf>
    <xf numFmtId="164" fontId="45" fillId="0" borderId="10" xfId="1" applyFont="1" applyFill="1" applyBorder="1" applyAlignment="1">
      <alignment horizontal="left" vertical="center" wrapText="1"/>
    </xf>
    <xf numFmtId="164" fontId="45" fillId="0" borderId="10" xfId="1" applyFont="1" applyFill="1" applyBorder="1" applyAlignment="1">
      <alignment horizontal="left" vertical="center"/>
    </xf>
    <xf numFmtId="164" fontId="29" fillId="0" borderId="10" xfId="1" applyFont="1" applyFill="1" applyBorder="1" applyAlignment="1">
      <alignment wrapText="1"/>
    </xf>
    <xf numFmtId="168" fontId="29" fillId="0" borderId="15" xfId="0" applyNumberFormat="1" applyFont="1" applyBorder="1" applyAlignment="1">
      <alignment horizontal="right" vertical="center"/>
    </xf>
    <xf numFmtId="14" fontId="33" fillId="0" borderId="15" xfId="0" applyNumberFormat="1" applyFont="1" applyBorder="1" applyAlignment="1">
      <alignment horizontal="left" vertical="center"/>
    </xf>
    <xf numFmtId="0" fontId="29" fillId="5" borderId="26" xfId="0" applyFont="1" applyFill="1" applyBorder="1" applyAlignment="1">
      <alignment horizontal="left" vertical="center"/>
    </xf>
    <xf numFmtId="0" fontId="32" fillId="0" borderId="10" xfId="0" applyFont="1" applyBorder="1" applyAlignment="1">
      <alignment vertical="center"/>
    </xf>
    <xf numFmtId="164" fontId="47" fillId="0" borderId="10" xfId="1" applyFont="1" applyFill="1" applyBorder="1" applyAlignment="1">
      <alignment horizontal="left" vertical="center"/>
    </xf>
    <xf numFmtId="166" fontId="29" fillId="0" borderId="15" xfId="0" applyNumberFormat="1" applyFont="1" applyBorder="1" applyAlignment="1">
      <alignment horizontal="left" vertical="center"/>
    </xf>
    <xf numFmtId="166" fontId="29" fillId="0" borderId="19" xfId="0" applyNumberFormat="1" applyFont="1" applyBorder="1" applyAlignment="1">
      <alignment horizontal="left" vertical="center"/>
    </xf>
    <xf numFmtId="0" fontId="54" fillId="0" borderId="0" xfId="0" applyFont="1" applyAlignment="1">
      <alignment horizontal="left" vertical="center"/>
    </xf>
    <xf numFmtId="49" fontId="29" fillId="0" borderId="15" xfId="0" applyNumberFormat="1" applyFont="1" applyBorder="1" applyAlignment="1">
      <alignment horizontal="left" vertical="center"/>
    </xf>
    <xf numFmtId="0" fontId="31" fillId="22" borderId="15" xfId="0" applyFont="1" applyFill="1" applyBorder="1" applyAlignment="1">
      <alignment horizontal="left" vertical="top" wrapText="1"/>
    </xf>
    <xf numFmtId="0" fontId="31" fillId="22" borderId="19" xfId="0" applyFont="1" applyFill="1" applyBorder="1" applyAlignment="1">
      <alignment horizontal="left" vertical="top" wrapText="1"/>
    </xf>
    <xf numFmtId="0" fontId="52" fillId="0" borderId="10" xfId="0" applyFont="1" applyBorder="1" applyAlignment="1">
      <alignment vertical="center"/>
    </xf>
    <xf numFmtId="0" fontId="52" fillId="0" borderId="10" xfId="0" applyFont="1" applyBorder="1" applyAlignment="1">
      <alignment horizontal="left" vertical="center"/>
    </xf>
    <xf numFmtId="0" fontId="54" fillId="0" borderId="10" xfId="0" applyFont="1" applyBorder="1" applyAlignment="1">
      <alignment horizontal="left" vertical="center"/>
    </xf>
    <xf numFmtId="0" fontId="53" fillId="0" borderId="10" xfId="0" applyFont="1" applyBorder="1" applyAlignment="1">
      <alignment horizontal="right" vertical="center"/>
    </xf>
    <xf numFmtId="0" fontId="54" fillId="0" borderId="10" xfId="0" applyFont="1" applyBorder="1" applyAlignment="1">
      <alignment horizontal="right" vertical="center"/>
    </xf>
    <xf numFmtId="0" fontId="53" fillId="0" borderId="10" xfId="0" applyFont="1" applyBorder="1" applyAlignment="1">
      <alignment horizontal="center" vertical="center"/>
    </xf>
    <xf numFmtId="165" fontId="54" fillId="0" borderId="10" xfId="0" applyNumberFormat="1" applyFont="1" applyBorder="1" applyAlignment="1">
      <alignment horizontal="left" vertical="center"/>
    </xf>
    <xf numFmtId="0" fontId="53" fillId="0" borderId="10" xfId="0" applyFont="1" applyBorder="1" applyAlignment="1">
      <alignment horizontal="left" vertical="center"/>
    </xf>
    <xf numFmtId="166" fontId="54" fillId="0" borderId="10" xfId="0" applyNumberFormat="1" applyFont="1" applyBorder="1" applyAlignment="1">
      <alignment horizontal="left" vertical="center"/>
    </xf>
    <xf numFmtId="0" fontId="48" fillId="0" borderId="10" xfId="0" applyFont="1" applyBorder="1" applyAlignment="1">
      <alignment horizontal="center" vertical="center"/>
    </xf>
    <xf numFmtId="0" fontId="49" fillId="5" borderId="10" xfId="0" applyFont="1" applyFill="1" applyBorder="1" applyAlignment="1">
      <alignment vertical="center"/>
    </xf>
    <xf numFmtId="0" fontId="54" fillId="5" borderId="10" xfId="0" applyFont="1" applyFill="1" applyBorder="1" applyAlignment="1">
      <alignment horizontal="left" vertical="center"/>
    </xf>
    <xf numFmtId="165" fontId="54" fillId="5" borderId="10" xfId="0" applyNumberFormat="1" applyFont="1" applyFill="1" applyBorder="1" applyAlignment="1">
      <alignment horizontal="left" vertical="center"/>
    </xf>
    <xf numFmtId="0" fontId="53" fillId="5" borderId="10" xfId="0" applyFont="1" applyFill="1" applyBorder="1" applyAlignment="1">
      <alignment horizontal="left" vertical="center"/>
    </xf>
    <xf numFmtId="0" fontId="50" fillId="5" borderId="10" xfId="0" applyFont="1" applyFill="1" applyBorder="1" applyAlignment="1">
      <alignment vertical="center"/>
    </xf>
    <xf numFmtId="0" fontId="55" fillId="0" borderId="10" xfId="0" applyFont="1" applyBorder="1" applyAlignment="1">
      <alignment wrapText="1"/>
    </xf>
    <xf numFmtId="49" fontId="28" fillId="5" borderId="13" xfId="0" applyNumberFormat="1" applyFont="1" applyFill="1" applyBorder="1" applyAlignment="1">
      <alignment horizontal="left" vertical="center" wrapText="1"/>
    </xf>
    <xf numFmtId="49" fontId="32" fillId="0" borderId="10" xfId="0" applyNumberFormat="1" applyFont="1" applyBorder="1" applyAlignment="1">
      <alignment horizontal="center" vertical="center" wrapText="1"/>
    </xf>
    <xf numFmtId="0" fontId="35" fillId="0" borderId="10" xfId="0" applyFont="1" applyBorder="1" applyAlignment="1">
      <alignment horizontal="left" vertical="center"/>
    </xf>
    <xf numFmtId="0" fontId="44" fillId="0" borderId="10" xfId="1" quotePrefix="1" applyNumberFormat="1" applyFont="1" applyFill="1" applyBorder="1" applyAlignment="1">
      <alignment horizontal="left"/>
    </xf>
    <xf numFmtId="0" fontId="44" fillId="0" borderId="10" xfId="1" applyNumberFormat="1" applyFont="1" applyFill="1" applyBorder="1" applyAlignment="1">
      <alignment horizontal="left" vertical="center"/>
    </xf>
    <xf numFmtId="0" fontId="44" fillId="0" borderId="10" xfId="1" quotePrefix="1" applyNumberFormat="1" applyFont="1" applyFill="1" applyBorder="1" applyAlignment="1">
      <alignment horizontal="left" vertical="center"/>
    </xf>
    <xf numFmtId="0" fontId="44" fillId="0" borderId="10" xfId="1" applyNumberFormat="1" applyFont="1" applyFill="1" applyBorder="1" applyAlignment="1">
      <alignment horizontal="left"/>
    </xf>
    <xf numFmtId="0" fontId="45" fillId="0" borderId="10" xfId="1" applyNumberFormat="1" applyFont="1" applyFill="1" applyBorder="1" applyAlignment="1">
      <alignment horizontal="left"/>
    </xf>
    <xf numFmtId="0" fontId="47" fillId="0" borderId="10" xfId="1" applyNumberFormat="1" applyFont="1" applyFill="1" applyBorder="1" applyAlignment="1">
      <alignment horizontal="left" vertical="center"/>
    </xf>
    <xf numFmtId="0" fontId="45" fillId="0" borderId="10" xfId="1" applyNumberFormat="1" applyFont="1" applyFill="1" applyBorder="1" applyAlignment="1">
      <alignment horizontal="left" vertical="center"/>
    </xf>
    <xf numFmtId="0" fontId="51" fillId="0" borderId="10" xfId="0" quotePrefix="1" applyFont="1" applyBorder="1" applyAlignment="1">
      <alignment vertical="center"/>
    </xf>
    <xf numFmtId="0" fontId="51" fillId="0" borderId="10" xfId="0" applyFont="1" applyBorder="1" applyAlignment="1">
      <alignment vertical="center"/>
    </xf>
    <xf numFmtId="0" fontId="51" fillId="0" borderId="10" xfId="0" applyFont="1" applyBorder="1" applyAlignment="1">
      <alignment horizontal="left" vertical="center"/>
    </xf>
    <xf numFmtId="49" fontId="54" fillId="0" borderId="10" xfId="0" applyNumberFormat="1" applyFont="1" applyBorder="1" applyAlignment="1">
      <alignment horizontal="left" vertical="center"/>
    </xf>
    <xf numFmtId="49" fontId="29" fillId="15" borderId="10" xfId="0" applyNumberFormat="1" applyFont="1" applyFill="1" applyBorder="1" applyAlignment="1">
      <alignment horizontal="left" vertical="center"/>
    </xf>
    <xf numFmtId="0" fontId="29" fillId="15" borderId="10" xfId="0" applyFont="1" applyFill="1" applyBorder="1" applyAlignment="1">
      <alignment horizontal="left" vertical="center"/>
    </xf>
    <xf numFmtId="0" fontId="31" fillId="15" borderId="10" xfId="0" applyFont="1" applyFill="1" applyBorder="1" applyAlignment="1">
      <alignment horizontal="left" vertical="top" wrapText="1"/>
    </xf>
    <xf numFmtId="0" fontId="31" fillId="15" borderId="10" xfId="0" applyFont="1" applyFill="1" applyBorder="1" applyAlignment="1">
      <alignment horizontal="left" vertical="center"/>
    </xf>
    <xf numFmtId="0" fontId="29" fillId="15" borderId="10" xfId="0" applyFont="1" applyFill="1" applyBorder="1" applyAlignment="1">
      <alignment horizontal="right" vertical="center"/>
    </xf>
    <xf numFmtId="165" fontId="29" fillId="15" borderId="10" xfId="0" applyNumberFormat="1" applyFont="1" applyFill="1" applyBorder="1" applyAlignment="1">
      <alignment horizontal="left" vertical="center"/>
    </xf>
    <xf numFmtId="166" fontId="29" fillId="15" borderId="10" xfId="0" applyNumberFormat="1" applyFont="1" applyFill="1" applyBorder="1" applyAlignment="1">
      <alignment horizontal="left" vertical="center"/>
    </xf>
    <xf numFmtId="2" fontId="29" fillId="0" borderId="10" xfId="0" applyNumberFormat="1" applyFont="1" applyBorder="1" applyAlignment="1">
      <alignment vertical="center"/>
    </xf>
    <xf numFmtId="0" fontId="29" fillId="0" borderId="10" xfId="0" applyFont="1" applyBorder="1" applyAlignment="1">
      <alignment horizontal="left" vertical="center" wrapText="1"/>
    </xf>
    <xf numFmtId="0" fontId="29" fillId="23" borderId="10" xfId="0" applyFont="1" applyFill="1" applyBorder="1" applyAlignment="1">
      <alignment horizontal="left" vertical="center" wrapText="1"/>
    </xf>
    <xf numFmtId="0" fontId="29" fillId="5" borderId="11" xfId="0" applyFont="1" applyFill="1" applyBorder="1" applyAlignment="1">
      <alignment horizontal="left" vertical="center"/>
    </xf>
    <xf numFmtId="0" fontId="31" fillId="17" borderId="10" xfId="0" applyFont="1" applyFill="1" applyBorder="1" applyAlignment="1">
      <alignment horizontal="left" vertical="top" wrapText="1"/>
    </xf>
    <xf numFmtId="0" fontId="56" fillId="17" borderId="10" xfId="1" applyNumberFormat="1" applyFont="1" applyFill="1" applyBorder="1" applyAlignment="1">
      <alignment horizontal="left" vertical="center"/>
    </xf>
    <xf numFmtId="164" fontId="57" fillId="17" borderId="10" xfId="1" applyFont="1" applyFill="1" applyBorder="1" applyAlignment="1">
      <alignment horizontal="left" vertical="center"/>
    </xf>
    <xf numFmtId="0" fontId="56" fillId="5" borderId="10" xfId="1" applyNumberFormat="1" applyFont="1" applyFill="1" applyBorder="1" applyAlignment="1">
      <alignment horizontal="left" vertical="center"/>
    </xf>
    <xf numFmtId="164" fontId="57" fillId="5" borderId="10" xfId="1" applyFont="1" applyFill="1" applyBorder="1" applyAlignment="1">
      <alignment horizontal="left" vertical="center"/>
    </xf>
    <xf numFmtId="165" fontId="29" fillId="0" borderId="10" xfId="0" applyNumberFormat="1" applyFont="1" applyBorder="1" applyAlignment="1">
      <alignment horizontal="left" vertical="center" wrapText="1"/>
    </xf>
    <xf numFmtId="0" fontId="53" fillId="0" borderId="10" xfId="0" applyFont="1" applyBorder="1" applyAlignment="1">
      <alignment horizontal="left" vertical="center" wrapText="1"/>
    </xf>
    <xf numFmtId="166" fontId="29" fillId="0" borderId="10" xfId="0" applyNumberFormat="1" applyFont="1" applyBorder="1" applyAlignment="1">
      <alignment horizontal="left" vertical="center" wrapText="1"/>
    </xf>
    <xf numFmtId="0" fontId="33" fillId="17" borderId="10" xfId="0" quotePrefix="1" applyFont="1" applyFill="1" applyBorder="1" applyAlignment="1">
      <alignment horizontal="left" vertical="center"/>
    </xf>
    <xf numFmtId="49" fontId="35" fillId="16" borderId="0" xfId="0" applyNumberFormat="1" applyFont="1" applyFill="1" applyAlignment="1">
      <alignment horizontal="left"/>
    </xf>
    <xf numFmtId="0" fontId="29" fillId="17" borderId="12" xfId="0" quotePrefix="1" applyFont="1" applyFill="1" applyBorder="1" applyAlignment="1">
      <alignment horizontal="left"/>
    </xf>
    <xf numFmtId="49" fontId="28" fillId="5" borderId="0" xfId="0" applyNumberFormat="1" applyFont="1" applyFill="1" applyAlignment="1">
      <alignment horizontal="left" vertical="center" wrapText="1"/>
    </xf>
    <xf numFmtId="0" fontId="33" fillId="17" borderId="0" xfId="0" quotePrefix="1" applyFont="1" applyFill="1" applyAlignment="1">
      <alignment horizontal="left" vertical="center"/>
    </xf>
    <xf numFmtId="49" fontId="28" fillId="5" borderId="19" xfId="0" applyNumberFormat="1" applyFont="1" applyFill="1" applyBorder="1" applyAlignment="1">
      <alignment horizontal="left" vertical="center" wrapText="1"/>
    </xf>
    <xf numFmtId="0" fontId="29" fillId="17" borderId="5" xfId="0" applyFont="1" applyFill="1" applyBorder="1" applyAlignment="1">
      <alignment horizontal="left"/>
    </xf>
    <xf numFmtId="0" fontId="33" fillId="5" borderId="16" xfId="0" applyFont="1" applyFill="1" applyBorder="1" applyAlignment="1">
      <alignment horizontal="left" vertical="center"/>
    </xf>
    <xf numFmtId="0" fontId="44" fillId="0" borderId="19" xfId="1" applyNumberFormat="1" applyFont="1" applyFill="1" applyBorder="1" applyAlignment="1">
      <alignment horizontal="left" vertical="center"/>
    </xf>
    <xf numFmtId="0" fontId="33" fillId="17" borderId="0" xfId="0" applyFont="1" applyFill="1" applyAlignment="1">
      <alignment horizontal="left" vertical="center"/>
    </xf>
    <xf numFmtId="49" fontId="29" fillId="17" borderId="11" xfId="0" quotePrefix="1" applyNumberFormat="1" applyFont="1" applyFill="1" applyBorder="1" applyAlignment="1">
      <alignment horizontal="left" vertical="center"/>
    </xf>
    <xf numFmtId="49" fontId="35" fillId="5" borderId="15" xfId="0" applyNumberFormat="1" applyFont="1" applyFill="1" applyBorder="1" applyAlignment="1">
      <alignment horizontal="left"/>
    </xf>
    <xf numFmtId="49" fontId="29" fillId="5" borderId="19" xfId="0" applyNumberFormat="1" applyFont="1" applyFill="1" applyBorder="1" applyAlignment="1">
      <alignment horizontal="left" vertical="center" wrapText="1"/>
    </xf>
    <xf numFmtId="49" fontId="35" fillId="16" borderId="15" xfId="0" applyNumberFormat="1" applyFont="1" applyFill="1" applyBorder="1" applyAlignment="1">
      <alignment horizontal="left"/>
    </xf>
    <xf numFmtId="0" fontId="33" fillId="5" borderId="17" xfId="0" applyFont="1" applyFill="1" applyBorder="1" applyAlignment="1">
      <alignment horizontal="left" vertical="center"/>
    </xf>
    <xf numFmtId="49" fontId="28" fillId="17" borderId="11" xfId="0" applyNumberFormat="1" applyFont="1" applyFill="1" applyBorder="1" applyAlignment="1">
      <alignment horizontal="left" vertical="center" wrapText="1"/>
    </xf>
    <xf numFmtId="49" fontId="29" fillId="17" borderId="15" xfId="0" applyNumberFormat="1" applyFont="1" applyFill="1" applyBorder="1" applyAlignment="1">
      <alignment horizontal="left" vertical="center"/>
    </xf>
    <xf numFmtId="49" fontId="35" fillId="16" borderId="12" xfId="0" applyNumberFormat="1" applyFont="1" applyFill="1" applyBorder="1" applyAlignment="1">
      <alignment horizontal="left"/>
    </xf>
    <xf numFmtId="49" fontId="35" fillId="16" borderId="20" xfId="0" applyNumberFormat="1" applyFont="1" applyFill="1" applyBorder="1" applyAlignment="1">
      <alignment horizontal="left"/>
    </xf>
    <xf numFmtId="0" fontId="29" fillId="17" borderId="0" xfId="0" applyFont="1" applyFill="1" applyAlignment="1">
      <alignment horizontal="left"/>
    </xf>
    <xf numFmtId="49" fontId="29" fillId="17" borderId="13" xfId="0" applyNumberFormat="1" applyFont="1" applyFill="1" applyBorder="1" applyAlignment="1">
      <alignment horizontal="left" vertical="center"/>
    </xf>
    <xf numFmtId="49" fontId="35" fillId="17" borderId="0" xfId="0" applyNumberFormat="1" applyFont="1" applyFill="1"/>
    <xf numFmtId="0" fontId="29" fillId="5" borderId="15" xfId="0" applyFont="1" applyFill="1" applyBorder="1" applyAlignment="1">
      <alignment horizontal="left" vertical="top"/>
    </xf>
    <xf numFmtId="0" fontId="33" fillId="5" borderId="0" xfId="0" applyFont="1" applyFill="1" applyAlignment="1">
      <alignment horizontal="left" vertical="top" wrapText="1"/>
    </xf>
    <xf numFmtId="0" fontId="33" fillId="5" borderId="19" xfId="0" applyFont="1" applyFill="1" applyBorder="1" applyAlignment="1">
      <alignment horizontal="left" vertical="top" wrapText="1"/>
    </xf>
    <xf numFmtId="164" fontId="44" fillId="0" borderId="19" xfId="1" applyFont="1" applyFill="1" applyBorder="1" applyAlignment="1">
      <alignment horizontal="left" vertical="center"/>
    </xf>
    <xf numFmtId="49" fontId="35" fillId="5" borderId="15" xfId="0" applyNumberFormat="1" applyFont="1" applyFill="1" applyBorder="1"/>
    <xf numFmtId="0" fontId="29" fillId="5" borderId="19" xfId="0" applyFont="1" applyFill="1" applyBorder="1" applyAlignment="1">
      <alignment horizontal="left" vertical="top" wrapText="1"/>
    </xf>
    <xf numFmtId="0" fontId="29" fillId="17" borderId="13" xfId="0" applyFont="1" applyFill="1" applyBorder="1" applyAlignment="1">
      <alignment vertical="center"/>
    </xf>
    <xf numFmtId="49" fontId="35" fillId="17" borderId="15" xfId="0" applyNumberFormat="1" applyFont="1" applyFill="1" applyBorder="1"/>
    <xf numFmtId="0" fontId="35" fillId="5" borderId="17" xfId="0" applyFont="1" applyFill="1" applyBorder="1" applyAlignment="1">
      <alignment horizontal="left" vertical="center"/>
    </xf>
    <xf numFmtId="0" fontId="29" fillId="17" borderId="11" xfId="0" applyFont="1" applyFill="1" applyBorder="1" applyAlignment="1">
      <alignment vertical="center"/>
    </xf>
    <xf numFmtId="0" fontId="29" fillId="17" borderId="15" xfId="0" applyFont="1" applyFill="1" applyBorder="1" applyAlignment="1">
      <alignment vertical="center"/>
    </xf>
    <xf numFmtId="49" fontId="35" fillId="17" borderId="19" xfId="0" applyNumberFormat="1" applyFont="1" applyFill="1" applyBorder="1"/>
    <xf numFmtId="0" fontId="58" fillId="17" borderId="10" xfId="0" applyFont="1" applyFill="1" applyBorder="1" applyAlignment="1">
      <alignment vertical="center" wrapText="1"/>
    </xf>
    <xf numFmtId="0" fontId="32" fillId="17" borderId="9" xfId="0" applyFont="1" applyFill="1" applyBorder="1" applyAlignment="1">
      <alignment horizontal="left" vertical="top" wrapText="1"/>
    </xf>
    <xf numFmtId="0" fontId="58" fillId="5" borderId="10" xfId="0" applyFont="1" applyFill="1" applyBorder="1" applyAlignment="1">
      <alignment vertical="center" wrapText="1"/>
    </xf>
    <xf numFmtId="0" fontId="31" fillId="5" borderId="19" xfId="0" applyFont="1" applyFill="1" applyBorder="1" applyAlignment="1">
      <alignment horizontal="left" vertical="top" wrapText="1"/>
    </xf>
    <xf numFmtId="0" fontId="32" fillId="17" borderId="6" xfId="0" applyFont="1" applyFill="1" applyBorder="1" applyAlignment="1">
      <alignment horizontal="left" vertical="top" wrapText="1"/>
    </xf>
    <xf numFmtId="0" fontId="31" fillId="5" borderId="17" xfId="0" applyFont="1" applyFill="1" applyBorder="1" applyAlignment="1">
      <alignment horizontal="left" vertical="center"/>
    </xf>
    <xf numFmtId="0" fontId="31" fillId="22" borderId="0" xfId="0" applyFont="1" applyFill="1" applyAlignment="1">
      <alignment horizontal="left" vertical="center"/>
    </xf>
    <xf numFmtId="0" fontId="31" fillId="22" borderId="0" xfId="0" applyFont="1" applyFill="1" applyAlignment="1">
      <alignment horizontal="left" vertical="top" wrapText="1"/>
    </xf>
    <xf numFmtId="0" fontId="41" fillId="5" borderId="0" xfId="0" applyFont="1" applyFill="1" applyAlignment="1">
      <alignment horizontal="left" vertical="top" wrapText="1"/>
    </xf>
    <xf numFmtId="0" fontId="31" fillId="5" borderId="18" xfId="0" applyFont="1" applyFill="1" applyBorder="1" applyAlignment="1">
      <alignment horizontal="left" vertical="top"/>
    </xf>
    <xf numFmtId="0" fontId="31" fillId="5" borderId="13" xfId="0" applyFont="1" applyFill="1" applyBorder="1" applyAlignment="1">
      <alignment horizontal="left" vertical="top" wrapText="1"/>
    </xf>
    <xf numFmtId="0" fontId="32" fillId="14" borderId="13" xfId="0" applyFont="1" applyFill="1" applyBorder="1" applyAlignment="1">
      <alignment horizontal="left" vertical="top" wrapText="1"/>
    </xf>
    <xf numFmtId="0" fontId="32" fillId="5" borderId="0" xfId="0" applyFont="1" applyFill="1" applyAlignment="1">
      <alignment horizontal="left" vertical="center" wrapText="1"/>
    </xf>
    <xf numFmtId="0" fontId="36" fillId="5" borderId="0" xfId="0" applyFont="1" applyFill="1" applyAlignment="1">
      <alignment horizontal="left" vertical="top" wrapText="1"/>
    </xf>
    <xf numFmtId="0" fontId="33" fillId="0" borderId="0" xfId="0" applyFont="1" applyAlignment="1">
      <alignment horizontal="left" vertical="center"/>
    </xf>
    <xf numFmtId="0" fontId="33" fillId="5" borderId="0" xfId="0" applyFont="1" applyFill="1" applyAlignment="1">
      <alignment horizontal="left" vertical="center" wrapText="1"/>
    </xf>
    <xf numFmtId="2" fontId="29" fillId="17" borderId="0" xfId="0" applyNumberFormat="1" applyFont="1" applyFill="1" applyAlignment="1">
      <alignment horizontal="right" vertical="center"/>
    </xf>
    <xf numFmtId="0" fontId="29" fillId="19" borderId="0" xfId="0" applyFont="1" applyFill="1" applyAlignment="1">
      <alignment horizontal="left" vertical="center"/>
    </xf>
    <xf numFmtId="2" fontId="29" fillId="17" borderId="0" xfId="0" applyNumberFormat="1" applyFont="1" applyFill="1" applyAlignment="1">
      <alignment horizontal="right"/>
    </xf>
    <xf numFmtId="14" fontId="33" fillId="0" borderId="0" xfId="0" applyNumberFormat="1" applyFont="1" applyAlignment="1">
      <alignment horizontal="center" vertical="center"/>
    </xf>
    <xf numFmtId="164" fontId="28" fillId="0" borderId="10" xfId="1" applyFont="1" applyFill="1" applyBorder="1" applyAlignment="1" applyProtection="1">
      <alignment horizontal="left" wrapText="1"/>
      <protection locked="0"/>
    </xf>
    <xf numFmtId="0" fontId="29" fillId="5" borderId="18" xfId="0" applyFont="1" applyFill="1" applyBorder="1" applyAlignment="1">
      <alignment horizontal="left" vertical="center"/>
    </xf>
    <xf numFmtId="2" fontId="30" fillId="7" borderId="0" xfId="0" applyNumberFormat="1" applyFont="1" applyFill="1" applyAlignment="1">
      <alignment horizontal="right" vertical="center"/>
    </xf>
    <xf numFmtId="0" fontId="33" fillId="5" borderId="8" xfId="0" applyFont="1" applyFill="1" applyBorder="1" applyAlignment="1">
      <alignment horizontal="left" vertical="center" wrapText="1"/>
    </xf>
    <xf numFmtId="15" fontId="33" fillId="0" borderId="0" xfId="0" applyNumberFormat="1" applyFont="1" applyAlignment="1">
      <alignment horizontal="left" vertical="center"/>
    </xf>
    <xf numFmtId="0" fontId="32" fillId="0" borderId="21" xfId="0" applyFont="1" applyBorder="1" applyAlignment="1">
      <alignment horizontal="left" vertical="center"/>
    </xf>
    <xf numFmtId="0" fontId="33" fillId="5" borderId="19" xfId="0" applyFont="1" applyFill="1" applyBorder="1" applyAlignment="1">
      <alignment horizontal="left" vertical="center" wrapText="1"/>
    </xf>
    <xf numFmtId="15" fontId="33" fillId="0" borderId="10" xfId="0" applyNumberFormat="1" applyFont="1" applyBorder="1" applyAlignment="1">
      <alignment horizontal="center" vertical="center"/>
    </xf>
    <xf numFmtId="0" fontId="33" fillId="0" borderId="22" xfId="0" applyFont="1" applyBorder="1" applyAlignment="1">
      <alignment horizontal="left" vertical="center"/>
    </xf>
    <xf numFmtId="0" fontId="29" fillId="7" borderId="0" xfId="0" applyFont="1" applyFill="1" applyAlignment="1">
      <alignment horizontal="right" vertical="center"/>
    </xf>
    <xf numFmtId="0" fontId="30" fillId="0" borderId="0" xfId="0" applyFont="1" applyAlignment="1">
      <alignment horizontal="center" vertical="center"/>
    </xf>
    <xf numFmtId="0" fontId="33" fillId="5" borderId="11" xfId="0" applyFont="1" applyFill="1" applyBorder="1" applyAlignment="1">
      <alignment horizontal="right" vertical="center"/>
    </xf>
    <xf numFmtId="4" fontId="33" fillId="5" borderId="11" xfId="0" applyNumberFormat="1" applyFont="1" applyFill="1" applyBorder="1" applyAlignment="1">
      <alignment horizontal="right" vertical="center" wrapText="1"/>
    </xf>
    <xf numFmtId="4" fontId="33" fillId="5" borderId="23" xfId="0" applyNumberFormat="1" applyFont="1" applyFill="1" applyBorder="1" applyAlignment="1">
      <alignment horizontal="right" vertical="center" wrapText="1"/>
    </xf>
    <xf numFmtId="0" fontId="29" fillId="5" borderId="11" xfId="0" applyFont="1" applyFill="1" applyBorder="1" applyAlignment="1">
      <alignment horizontal="right"/>
    </xf>
    <xf numFmtId="0" fontId="29" fillId="5" borderId="11" xfId="0" applyFont="1" applyFill="1" applyBorder="1" applyAlignment="1">
      <alignment horizontal="right" vertical="center"/>
    </xf>
    <xf numFmtId="2" fontId="29" fillId="5" borderId="11" xfId="0" applyNumberFormat="1" applyFont="1" applyFill="1" applyBorder="1" applyAlignment="1">
      <alignment horizontal="right" vertical="center"/>
    </xf>
    <xf numFmtId="2" fontId="30" fillId="5" borderId="23" xfId="0" applyNumberFormat="1" applyFont="1" applyFill="1" applyBorder="1" applyAlignment="1">
      <alignment horizontal="right" vertical="center"/>
    </xf>
    <xf numFmtId="0" fontId="29" fillId="5" borderId="23" xfId="0" applyFont="1" applyFill="1" applyBorder="1" applyAlignment="1">
      <alignment horizontal="right" vertical="center"/>
    </xf>
    <xf numFmtId="4" fontId="33" fillId="5" borderId="12" xfId="0" applyNumberFormat="1" applyFont="1" applyFill="1" applyBorder="1" applyAlignment="1">
      <alignment horizontal="right" vertical="center" wrapText="1"/>
    </xf>
    <xf numFmtId="4" fontId="33" fillId="5" borderId="0" xfId="0" applyNumberFormat="1" applyFont="1" applyFill="1" applyAlignment="1">
      <alignment horizontal="right" vertical="center" wrapText="1"/>
    </xf>
    <xf numFmtId="2" fontId="33" fillId="5" borderId="23" xfId="0" applyNumberFormat="1" applyFont="1" applyFill="1" applyBorder="1" applyAlignment="1">
      <alignment horizontal="right" vertical="center"/>
    </xf>
    <xf numFmtId="0" fontId="29" fillId="17" borderId="11" xfId="0" applyFont="1" applyFill="1" applyBorder="1" applyAlignment="1">
      <alignment horizontal="right"/>
    </xf>
    <xf numFmtId="4" fontId="33" fillId="5" borderId="20" xfId="0" applyNumberFormat="1" applyFont="1" applyFill="1" applyBorder="1" applyAlignment="1">
      <alignment horizontal="right" vertical="center" wrapText="1"/>
    </xf>
    <xf numFmtId="0" fontId="33" fillId="5" borderId="23" xfId="0" applyFont="1" applyFill="1" applyBorder="1" applyAlignment="1">
      <alignment horizontal="right" vertical="center"/>
    </xf>
    <xf numFmtId="0" fontId="29" fillId="17" borderId="11" xfId="0" applyFont="1" applyFill="1" applyBorder="1" applyAlignment="1">
      <alignment horizontal="right" vertical="center"/>
    </xf>
    <xf numFmtId="168" fontId="29" fillId="5" borderId="11" xfId="0" applyNumberFormat="1" applyFont="1" applyFill="1" applyBorder="1" applyAlignment="1">
      <alignment horizontal="right" vertical="center"/>
    </xf>
    <xf numFmtId="2" fontId="33" fillId="5" borderId="11" xfId="0" applyNumberFormat="1" applyFont="1" applyFill="1" applyBorder="1" applyAlignment="1">
      <alignment horizontal="right" vertical="center"/>
    </xf>
    <xf numFmtId="2" fontId="29" fillId="5" borderId="15" xfId="0" applyNumberFormat="1" applyFont="1" applyFill="1" applyBorder="1" applyAlignment="1">
      <alignment horizontal="right"/>
    </xf>
    <xf numFmtId="4" fontId="29" fillId="5" borderId="19" xfId="0" applyNumberFormat="1" applyFont="1" applyFill="1" applyBorder="1" applyAlignment="1">
      <alignment horizontal="right" vertical="center" wrapText="1"/>
    </xf>
    <xf numFmtId="0" fontId="29" fillId="5" borderId="12" xfId="0" applyFont="1" applyFill="1" applyBorder="1" applyAlignment="1">
      <alignment horizontal="right"/>
    </xf>
    <xf numFmtId="2" fontId="29" fillId="17" borderId="15" xfId="0" applyNumberFormat="1" applyFont="1" applyFill="1" applyBorder="1" applyAlignment="1">
      <alignment horizontal="right"/>
    </xf>
    <xf numFmtId="2" fontId="29" fillId="5" borderId="23" xfId="0" applyNumberFormat="1" applyFont="1" applyFill="1" applyBorder="1" applyAlignment="1">
      <alignment horizontal="right" vertical="center"/>
    </xf>
    <xf numFmtId="0" fontId="30" fillId="5" borderId="11" xfId="0" applyFont="1" applyFill="1" applyBorder="1" applyAlignment="1">
      <alignment horizontal="right" vertical="center"/>
    </xf>
    <xf numFmtId="0" fontId="33" fillId="5" borderId="17" xfId="0" applyFont="1" applyFill="1" applyBorder="1" applyAlignment="1">
      <alignment horizontal="right" vertical="center"/>
    </xf>
    <xf numFmtId="2" fontId="30" fillId="5" borderId="11" xfId="0" applyNumberFormat="1" applyFont="1" applyFill="1" applyBorder="1" applyAlignment="1">
      <alignment horizontal="right" vertical="center"/>
    </xf>
    <xf numFmtId="4" fontId="29" fillId="17" borderId="15" xfId="0" applyNumberFormat="1" applyFont="1" applyFill="1" applyBorder="1" applyAlignment="1">
      <alignment horizontal="right" vertical="center"/>
    </xf>
    <xf numFmtId="168" fontId="30" fillId="5" borderId="11" xfId="0" applyNumberFormat="1" applyFont="1" applyFill="1" applyBorder="1" applyAlignment="1">
      <alignment horizontal="right" vertical="center"/>
    </xf>
    <xf numFmtId="2" fontId="29" fillId="5" borderId="19" xfId="0" applyNumberFormat="1" applyFont="1" applyFill="1" applyBorder="1" applyAlignment="1">
      <alignment horizontal="right" vertical="center"/>
    </xf>
    <xf numFmtId="4" fontId="33" fillId="5" borderId="19" xfId="0" applyNumberFormat="1" applyFont="1" applyFill="1" applyBorder="1" applyAlignment="1">
      <alignment horizontal="right" vertical="center" wrapText="1"/>
    </xf>
    <xf numFmtId="0" fontId="29" fillId="5" borderId="0" xfId="0" applyFont="1" applyFill="1" applyAlignment="1">
      <alignment horizontal="right" vertical="center"/>
    </xf>
    <xf numFmtId="4" fontId="33" fillId="5" borderId="25" xfId="0" applyNumberFormat="1" applyFont="1" applyFill="1" applyBorder="1" applyAlignment="1">
      <alignment horizontal="right" vertical="center" wrapText="1"/>
    </xf>
    <xf numFmtId="0" fontId="33" fillId="5" borderId="26" xfId="0" applyFont="1" applyFill="1" applyBorder="1" applyAlignment="1">
      <alignment horizontal="right" vertical="center"/>
    </xf>
    <xf numFmtId="2" fontId="29" fillId="5" borderId="15" xfId="0" applyNumberFormat="1" applyFont="1" applyFill="1" applyBorder="1" applyAlignment="1">
      <alignment horizontal="left" vertical="center"/>
    </xf>
    <xf numFmtId="4" fontId="33" fillId="5" borderId="0" xfId="0" applyNumberFormat="1" applyFont="1" applyFill="1" applyAlignment="1">
      <alignment horizontal="left" vertical="center" wrapText="1"/>
    </xf>
    <xf numFmtId="4" fontId="33" fillId="5" borderId="19" xfId="0" applyNumberFormat="1" applyFont="1" applyFill="1" applyBorder="1" applyAlignment="1">
      <alignment horizontal="left" vertical="center" wrapText="1"/>
    </xf>
    <xf numFmtId="4" fontId="33" fillId="3" borderId="15" xfId="0" applyNumberFormat="1" applyFont="1" applyFill="1" applyBorder="1" applyAlignment="1">
      <alignment horizontal="left" vertical="center" wrapText="1"/>
    </xf>
    <xf numFmtId="0" fontId="29" fillId="17" borderId="13" xfId="0" applyFont="1" applyFill="1" applyBorder="1" applyAlignment="1">
      <alignment horizontal="left" vertical="center"/>
    </xf>
    <xf numFmtId="4" fontId="29" fillId="5" borderId="19" xfId="0" applyNumberFormat="1" applyFont="1" applyFill="1" applyBorder="1" applyAlignment="1">
      <alignment horizontal="left" vertical="center" wrapText="1"/>
    </xf>
    <xf numFmtId="4" fontId="33" fillId="5" borderId="25" xfId="0" applyNumberFormat="1" applyFont="1" applyFill="1" applyBorder="1" applyAlignment="1">
      <alignment horizontal="left" vertical="center" wrapText="1"/>
    </xf>
    <xf numFmtId="0" fontId="29" fillId="5" borderId="25" xfId="0" applyFont="1" applyFill="1" applyBorder="1" applyAlignment="1">
      <alignment horizontal="left" vertical="center"/>
    </xf>
    <xf numFmtId="165" fontId="29" fillId="17" borderId="15" xfId="0" applyNumberFormat="1" applyFont="1" applyFill="1" applyBorder="1" applyAlignment="1">
      <alignment horizontal="left" vertical="center"/>
    </xf>
    <xf numFmtId="0" fontId="59" fillId="17" borderId="10" xfId="0" applyFont="1" applyFill="1" applyBorder="1" applyAlignment="1">
      <alignment vertical="center" wrapText="1"/>
    </xf>
    <xf numFmtId="165" fontId="29" fillId="5" borderId="9" xfId="0" applyNumberFormat="1" applyFont="1" applyFill="1" applyBorder="1" applyAlignment="1">
      <alignment horizontal="left" vertical="center"/>
    </xf>
    <xf numFmtId="0" fontId="59" fillId="5" borderId="10" xfId="0" applyFont="1" applyFill="1" applyBorder="1" applyAlignment="1">
      <alignment vertical="center" wrapText="1"/>
    </xf>
    <xf numFmtId="165" fontId="29" fillId="17" borderId="9" xfId="0" applyNumberFormat="1" applyFont="1" applyFill="1" applyBorder="1" applyAlignment="1">
      <alignment horizontal="left" vertical="center"/>
    </xf>
    <xf numFmtId="165" fontId="29" fillId="5" borderId="19" xfId="0" applyNumberFormat="1" applyFont="1" applyFill="1" applyBorder="1" applyAlignment="1">
      <alignment horizontal="left" vertical="center"/>
    </xf>
    <xf numFmtId="165" fontId="29" fillId="0" borderId="19" xfId="0" applyNumberFormat="1" applyFont="1" applyBorder="1" applyAlignment="1">
      <alignment horizontal="left" vertical="center"/>
    </xf>
    <xf numFmtId="165" fontId="29" fillId="5" borderId="0" xfId="0" applyNumberFormat="1" applyFont="1" applyFill="1" applyAlignment="1">
      <alignment horizontal="left" vertical="center"/>
    </xf>
    <xf numFmtId="165" fontId="29" fillId="5" borderId="6" xfId="0" applyNumberFormat="1" applyFont="1" applyFill="1" applyBorder="1" applyAlignment="1">
      <alignment horizontal="left" vertical="center"/>
    </xf>
    <xf numFmtId="165" fontId="29" fillId="5" borderId="25" xfId="0" applyNumberFormat="1" applyFont="1" applyFill="1" applyBorder="1" applyAlignment="1">
      <alignment horizontal="left" vertical="center"/>
    </xf>
    <xf numFmtId="0" fontId="33" fillId="5" borderId="26" xfId="0" applyFont="1" applyFill="1" applyBorder="1" applyAlignment="1">
      <alignment horizontal="left" vertical="center"/>
    </xf>
    <xf numFmtId="0" fontId="34" fillId="5" borderId="0" xfId="0" applyFont="1" applyFill="1" applyAlignment="1">
      <alignment horizontal="left" vertical="center"/>
    </xf>
    <xf numFmtId="0" fontId="29" fillId="5" borderId="24" xfId="0" applyFont="1" applyFill="1" applyBorder="1" applyAlignment="1">
      <alignment horizontal="left" vertical="center" wrapText="1"/>
    </xf>
    <xf numFmtId="0" fontId="29" fillId="5" borderId="13" xfId="0" applyFont="1" applyFill="1" applyBorder="1" applyAlignment="1">
      <alignment horizontal="left" vertical="center" wrapText="1"/>
    </xf>
    <xf numFmtId="14" fontId="33" fillId="5" borderId="0" xfId="0" applyNumberFormat="1" applyFont="1" applyFill="1" applyAlignment="1">
      <alignment horizontal="left" vertical="center"/>
    </xf>
    <xf numFmtId="0" fontId="29" fillId="5" borderId="24" xfId="0" applyFont="1" applyFill="1" applyBorder="1" applyAlignment="1">
      <alignment horizontal="left" vertical="center"/>
    </xf>
    <xf numFmtId="166" fontId="29" fillId="5" borderId="0" xfId="0" applyNumberFormat="1" applyFont="1" applyFill="1" applyAlignment="1">
      <alignment horizontal="left" vertical="center"/>
    </xf>
    <xf numFmtId="0" fontId="33" fillId="5" borderId="13" xfId="0" applyFont="1" applyFill="1" applyBorder="1" applyAlignment="1">
      <alignment horizontal="left" vertical="center"/>
    </xf>
    <xf numFmtId="0" fontId="29" fillId="5" borderId="27" xfId="0" applyFont="1" applyFill="1" applyBorder="1" applyAlignment="1">
      <alignment horizontal="left" vertical="center"/>
    </xf>
    <xf numFmtId="0" fontId="29" fillId="5" borderId="16" xfId="0" applyFont="1" applyFill="1" applyBorder="1" applyAlignment="1">
      <alignment horizontal="left" vertical="center" wrapText="1"/>
    </xf>
    <xf numFmtId="0" fontId="29" fillId="5" borderId="17" xfId="0" applyFont="1" applyFill="1" applyBorder="1" applyAlignment="1">
      <alignment horizontal="left" vertical="center" wrapText="1"/>
    </xf>
    <xf numFmtId="0" fontId="29" fillId="5" borderId="24" xfId="0" applyFont="1" applyFill="1" applyBorder="1" applyAlignment="1">
      <alignment vertical="center"/>
    </xf>
    <xf numFmtId="0" fontId="29" fillId="5" borderId="28" xfId="0" applyFont="1" applyFill="1" applyBorder="1" applyAlignment="1">
      <alignment horizontal="left" vertical="center" wrapText="1"/>
    </xf>
    <xf numFmtId="0" fontId="30" fillId="5" borderId="0" xfId="0" applyFont="1" applyFill="1" applyAlignment="1">
      <alignment horizontal="left" vertical="center"/>
    </xf>
    <xf numFmtId="0" fontId="30" fillId="0" borderId="10" xfId="0" applyFont="1" applyBorder="1" applyAlignment="1">
      <alignment horizontal="left" vertical="center" wrapText="1"/>
    </xf>
    <xf numFmtId="0" fontId="33" fillId="5" borderId="24" xfId="0" applyFont="1" applyFill="1" applyBorder="1" applyAlignment="1">
      <alignment horizontal="left" vertical="center" wrapText="1"/>
    </xf>
    <xf numFmtId="0" fontId="33" fillId="5" borderId="0" xfId="0" applyFont="1" applyFill="1" applyAlignment="1">
      <alignment horizontal="left" vertical="center"/>
    </xf>
    <xf numFmtId="0" fontId="32" fillId="5" borderId="24" xfId="0" applyFont="1" applyFill="1" applyBorder="1" applyAlignment="1">
      <alignment horizontal="left" vertical="center"/>
    </xf>
    <xf numFmtId="0" fontId="30" fillId="5" borderId="13" xfId="0" applyFont="1" applyFill="1" applyBorder="1" applyAlignment="1">
      <alignment horizontal="left" vertical="center"/>
    </xf>
    <xf numFmtId="0" fontId="29" fillId="5" borderId="19" xfId="0" applyFont="1" applyFill="1" applyBorder="1" applyAlignment="1">
      <alignment horizontal="left" vertical="center" wrapText="1"/>
    </xf>
    <xf numFmtId="0" fontId="29" fillId="5" borderId="30" xfId="0" applyFont="1" applyFill="1" applyBorder="1" applyAlignment="1">
      <alignment horizontal="left" vertical="center"/>
    </xf>
    <xf numFmtId="0" fontId="37" fillId="5" borderId="19" xfId="0" applyFont="1" applyFill="1" applyBorder="1" applyAlignment="1">
      <alignment horizontal="left" vertical="center"/>
    </xf>
    <xf numFmtId="0" fontId="29" fillId="5" borderId="29" xfId="0" applyFont="1" applyFill="1" applyBorder="1" applyAlignment="1">
      <alignment horizontal="left" vertical="center"/>
    </xf>
    <xf numFmtId="166" fontId="29" fillId="17" borderId="15" xfId="0" applyNumberFormat="1" applyFont="1" applyFill="1" applyBorder="1" applyAlignment="1">
      <alignment horizontal="left" vertical="center"/>
    </xf>
    <xf numFmtId="166" fontId="29" fillId="17" borderId="0" xfId="0" applyNumberFormat="1" applyFont="1" applyFill="1" applyAlignment="1">
      <alignment horizontal="left" vertical="center"/>
    </xf>
    <xf numFmtId="166" fontId="29" fillId="5" borderId="16" xfId="0" applyNumberFormat="1" applyFont="1" applyFill="1" applyBorder="1" applyAlignment="1">
      <alignment horizontal="left" vertical="center"/>
    </xf>
    <xf numFmtId="167" fontId="29" fillId="5" borderId="0" xfId="0" applyNumberFormat="1" applyFont="1" applyFill="1" applyAlignment="1">
      <alignment horizontal="left" vertical="center"/>
    </xf>
    <xf numFmtId="166" fontId="29" fillId="5" borderId="25" xfId="0" applyNumberFormat="1" applyFont="1" applyFill="1" applyBorder="1" applyAlignment="1">
      <alignment horizontal="left" vertical="center"/>
    </xf>
    <xf numFmtId="167" fontId="29" fillId="5" borderId="15" xfId="0" applyNumberFormat="1" applyFont="1" applyFill="1" applyBorder="1" applyAlignment="1">
      <alignment horizontal="left" vertical="center"/>
    </xf>
    <xf numFmtId="0" fontId="29" fillId="5" borderId="16" xfId="0" applyFont="1" applyFill="1" applyBorder="1" applyAlignment="1">
      <alignment horizontal="left" vertical="top" wrapText="1"/>
    </xf>
    <xf numFmtId="166" fontId="29" fillId="5" borderId="31" xfId="0" applyNumberFormat="1" applyFont="1" applyFill="1" applyBorder="1" applyAlignment="1">
      <alignment horizontal="left" vertical="center"/>
    </xf>
    <xf numFmtId="0" fontId="30" fillId="0" borderId="10" xfId="0" applyFont="1" applyBorder="1" applyAlignment="1">
      <alignment vertical="center"/>
    </xf>
    <xf numFmtId="0" fontId="61" fillId="0" borderId="9" xfId="0" applyFont="1" applyBorder="1" applyAlignment="1">
      <alignment horizontal="right" vertical="center"/>
    </xf>
    <xf numFmtId="0" fontId="31" fillId="22" borderId="15" xfId="0" applyFont="1" applyFill="1" applyBorder="1" applyAlignment="1">
      <alignment horizontal="left" vertical="center"/>
    </xf>
    <xf numFmtId="0" fontId="61" fillId="0" borderId="6" xfId="0" applyFont="1" applyBorder="1" applyAlignment="1">
      <alignment horizontal="right" vertical="center"/>
    </xf>
    <xf numFmtId="0" fontId="61" fillId="0" borderId="10" xfId="0" applyFont="1" applyBorder="1" applyAlignment="1">
      <alignment vertical="center"/>
    </xf>
    <xf numFmtId="0" fontId="61" fillId="0" borderId="10" xfId="0" applyFont="1" applyBorder="1" applyAlignment="1">
      <alignment horizontal="right" vertical="center"/>
    </xf>
    <xf numFmtId="0" fontId="62" fillId="0" borderId="10" xfId="0" applyFont="1" applyBorder="1" applyAlignment="1">
      <alignment vertical="center"/>
    </xf>
    <xf numFmtId="0" fontId="62" fillId="0" borderId="0" xfId="0" applyFont="1"/>
    <xf numFmtId="2" fontId="61" fillId="0" borderId="10" xfId="0" applyNumberFormat="1" applyFont="1" applyBorder="1" applyAlignment="1">
      <alignment horizontal="right" vertical="center"/>
    </xf>
    <xf numFmtId="0" fontId="63" fillId="0" borderId="10" xfId="0" applyFont="1" applyBorder="1" applyAlignment="1">
      <alignment horizontal="left"/>
    </xf>
    <xf numFmtId="0" fontId="63" fillId="0" borderId="10" xfId="0" quotePrefix="1" applyFont="1" applyBorder="1" applyAlignment="1">
      <alignment horizontal="left"/>
    </xf>
    <xf numFmtId="0" fontId="11" fillId="0" borderId="10" xfId="0" applyFont="1" applyBorder="1"/>
    <xf numFmtId="0" fontId="3" fillId="0" borderId="10" xfId="2" applyFont="1" applyBorder="1" applyAlignment="1">
      <alignment horizontal="left"/>
    </xf>
    <xf numFmtId="49" fontId="29" fillId="5" borderId="19" xfId="0" applyNumberFormat="1" applyFont="1" applyFill="1" applyBorder="1" applyAlignment="1">
      <alignment horizontal="left" vertical="center"/>
    </xf>
    <xf numFmtId="0" fontId="31" fillId="5" borderId="19" xfId="0" applyFont="1" applyFill="1" applyBorder="1" applyAlignment="1">
      <alignment horizontal="left" vertical="center"/>
    </xf>
    <xf numFmtId="0" fontId="29" fillId="5" borderId="19" xfId="0" applyFont="1" applyFill="1" applyBorder="1" applyAlignment="1">
      <alignment horizontal="right" vertical="center"/>
    </xf>
    <xf numFmtId="4" fontId="32" fillId="0" borderId="10" xfId="0" applyNumberFormat="1" applyFont="1" applyBorder="1" applyAlignment="1">
      <alignment horizontal="right" vertical="center" wrapText="1"/>
    </xf>
    <xf numFmtId="0" fontId="32" fillId="0" borderId="10" xfId="0" applyFont="1" applyBorder="1" applyAlignment="1">
      <alignment horizontal="right" vertical="center" wrapText="1"/>
    </xf>
    <xf numFmtId="168" fontId="33" fillId="0" borderId="10" xfId="0" applyNumberFormat="1" applyFont="1" applyBorder="1" applyAlignment="1">
      <alignment horizontal="right" vertical="center"/>
    </xf>
    <xf numFmtId="164" fontId="29" fillId="0" borderId="10" xfId="1" applyFont="1" applyFill="1" applyBorder="1" applyAlignment="1">
      <alignment horizontal="right" wrapText="1"/>
    </xf>
    <xf numFmtId="164" fontId="28" fillId="0" borderId="10" xfId="1" applyFont="1" applyFill="1" applyBorder="1" applyAlignment="1" applyProtection="1">
      <alignment horizontal="right" wrapText="1"/>
      <protection locked="0"/>
    </xf>
    <xf numFmtId="164" fontId="46" fillId="0" borderId="10" xfId="1" applyFont="1" applyFill="1" applyBorder="1" applyAlignment="1">
      <alignment horizontal="right" wrapText="1"/>
    </xf>
    <xf numFmtId="164" fontId="28" fillId="0" borderId="19" xfId="1" applyFont="1" applyFill="1" applyBorder="1" applyAlignment="1" applyProtection="1">
      <alignment horizontal="right" wrapText="1"/>
      <protection locked="0"/>
    </xf>
    <xf numFmtId="164" fontId="29" fillId="0" borderId="19" xfId="1" applyFont="1" applyFill="1" applyBorder="1" applyAlignment="1">
      <alignment horizontal="right" wrapText="1"/>
    </xf>
    <xf numFmtId="164" fontId="30" fillId="0" borderId="10" xfId="1" applyFont="1" applyFill="1" applyBorder="1" applyAlignment="1">
      <alignment horizontal="right" wrapText="1"/>
    </xf>
    <xf numFmtId="2" fontId="34" fillId="5" borderId="11" xfId="0" applyNumberFormat="1" applyFont="1" applyFill="1" applyBorder="1" applyAlignment="1">
      <alignment horizontal="right" vertical="center"/>
    </xf>
    <xf numFmtId="2" fontId="34" fillId="5" borderId="10" xfId="0" applyNumberFormat="1" applyFont="1" applyFill="1" applyBorder="1" applyAlignment="1">
      <alignment horizontal="right" vertical="center"/>
    </xf>
    <xf numFmtId="0" fontId="35" fillId="5" borderId="10" xfId="0" applyFont="1" applyFill="1" applyBorder="1" applyAlignment="1">
      <alignment horizontal="right" vertical="center"/>
    </xf>
    <xf numFmtId="2" fontId="29" fillId="5" borderId="11" xfId="0" applyNumberFormat="1" applyFont="1" applyFill="1" applyBorder="1" applyAlignment="1">
      <alignment horizontal="right"/>
    </xf>
    <xf numFmtId="164" fontId="29" fillId="17" borderId="10" xfId="1" applyFont="1" applyFill="1" applyBorder="1" applyAlignment="1">
      <alignment horizontal="right" wrapText="1"/>
    </xf>
    <xf numFmtId="164" fontId="29" fillId="5" borderId="10" xfId="1" applyFont="1" applyFill="1" applyBorder="1" applyAlignment="1">
      <alignment horizontal="right" wrapText="1"/>
    </xf>
    <xf numFmtId="0" fontId="51" fillId="5" borderId="10" xfId="0" applyFont="1" applyFill="1" applyBorder="1" applyAlignment="1">
      <alignment horizontal="right" vertical="center"/>
    </xf>
    <xf numFmtId="49" fontId="65" fillId="18" borderId="10" xfId="0" quotePrefix="1" applyNumberFormat="1" applyFont="1" applyFill="1" applyBorder="1" applyAlignment="1">
      <alignment vertical="center"/>
    </xf>
    <xf numFmtId="49" fontId="66" fillId="0" borderId="10" xfId="0" applyNumberFormat="1" applyFont="1" applyBorder="1" applyAlignment="1">
      <alignment horizontal="left" vertical="center"/>
    </xf>
    <xf numFmtId="0" fontId="65" fillId="18" borderId="10" xfId="0" applyFont="1" applyFill="1" applyBorder="1" applyAlignment="1">
      <alignment vertical="center"/>
    </xf>
    <xf numFmtId="0" fontId="67" fillId="22" borderId="10" xfId="0" applyFont="1" applyFill="1" applyBorder="1" applyAlignment="1">
      <alignment horizontal="left" vertical="top" wrapText="1"/>
    </xf>
    <xf numFmtId="0" fontId="67" fillId="22" borderId="10" xfId="0" applyFont="1" applyFill="1" applyBorder="1" applyAlignment="1">
      <alignment horizontal="left" vertical="center"/>
    </xf>
    <xf numFmtId="0" fontId="66" fillId="0" borderId="10" xfId="0" applyFont="1" applyBorder="1" applyAlignment="1">
      <alignment horizontal="left" vertical="center"/>
    </xf>
    <xf numFmtId="0" fontId="68" fillId="18" borderId="10" xfId="0" applyFont="1" applyFill="1" applyBorder="1" applyAlignment="1">
      <alignment horizontal="right" vertical="center"/>
    </xf>
    <xf numFmtId="0" fontId="68" fillId="18" borderId="10" xfId="0" applyFont="1" applyFill="1" applyBorder="1" applyAlignment="1">
      <alignment vertical="center"/>
    </xf>
    <xf numFmtId="0" fontId="66" fillId="0" borderId="0" xfId="0" applyFont="1"/>
    <xf numFmtId="49" fontId="65" fillId="18" borderId="10" xfId="0" applyNumberFormat="1" applyFont="1" applyFill="1" applyBorder="1" applyAlignment="1">
      <alignment vertical="center"/>
    </xf>
    <xf numFmtId="49" fontId="66" fillId="0" borderId="19" xfId="0" applyNumberFormat="1" applyFont="1" applyBorder="1" applyAlignment="1">
      <alignment horizontal="left" vertical="center"/>
    </xf>
    <xf numFmtId="0" fontId="66" fillId="0" borderId="19" xfId="0" applyFont="1" applyBorder="1" applyAlignment="1">
      <alignment horizontal="left" vertical="center"/>
    </xf>
    <xf numFmtId="0" fontId="68" fillId="18" borderId="19" xfId="0" applyFont="1" applyFill="1" applyBorder="1" applyAlignment="1">
      <alignment horizontal="right" vertical="center"/>
    </xf>
    <xf numFmtId="165" fontId="54" fillId="0" borderId="19" xfId="0" applyNumberFormat="1" applyFont="1" applyBorder="1" applyAlignment="1">
      <alignment horizontal="left" vertical="center"/>
    </xf>
    <xf numFmtId="0" fontId="29" fillId="0" borderId="19" xfId="0" applyFont="1" applyBorder="1"/>
    <xf numFmtId="0" fontId="67" fillId="0" borderId="19" xfId="0" applyFont="1" applyBorder="1" applyAlignment="1">
      <alignment horizontal="left" vertical="center"/>
    </xf>
    <xf numFmtId="0" fontId="68" fillId="18" borderId="28" xfId="0" applyFont="1" applyFill="1" applyBorder="1" applyAlignment="1">
      <alignment horizontal="right" vertical="center"/>
    </xf>
    <xf numFmtId="0" fontId="70" fillId="18" borderId="10" xfId="0" applyFont="1" applyFill="1" applyBorder="1" applyAlignment="1">
      <alignment horizontal="left" vertical="center"/>
    </xf>
    <xf numFmtId="0" fontId="70" fillId="18" borderId="10" xfId="0" applyFont="1" applyFill="1" applyBorder="1" applyAlignment="1">
      <alignment vertical="center"/>
    </xf>
    <xf numFmtId="0" fontId="70" fillId="18" borderId="10" xfId="0" quotePrefix="1" applyFont="1" applyFill="1" applyBorder="1" applyAlignment="1">
      <alignment horizontal="left" vertical="center"/>
    </xf>
    <xf numFmtId="0" fontId="33" fillId="20" borderId="10" xfId="0" applyFont="1" applyFill="1" applyBorder="1" applyAlignment="1">
      <alignment vertical="center"/>
    </xf>
    <xf numFmtId="0" fontId="33" fillId="18" borderId="19" xfId="0" applyFont="1" applyFill="1" applyBorder="1" applyAlignment="1">
      <alignment horizontal="right" vertical="center"/>
    </xf>
    <xf numFmtId="0" fontId="69" fillId="18" borderId="10" xfId="0" applyFont="1" applyFill="1" applyBorder="1" applyAlignment="1">
      <alignment horizontal="right" vertical="center"/>
    </xf>
    <xf numFmtId="0" fontId="67" fillId="5" borderId="10" xfId="0" applyFont="1" applyFill="1" applyBorder="1" applyAlignment="1">
      <alignment horizontal="left" vertical="center"/>
    </xf>
    <xf numFmtId="0" fontId="66" fillId="0" borderId="13" xfId="0" applyFont="1" applyBorder="1" applyAlignment="1">
      <alignment horizontal="left" vertical="center"/>
    </xf>
    <xf numFmtId="0" fontId="33" fillId="18" borderId="10" xfId="0" applyFont="1" applyFill="1" applyBorder="1" applyAlignment="1">
      <alignment vertical="center"/>
    </xf>
    <xf numFmtId="0" fontId="33" fillId="18" borderId="15" xfId="0" applyFont="1" applyFill="1" applyBorder="1" applyAlignment="1">
      <alignment vertical="center"/>
    </xf>
    <xf numFmtId="166" fontId="29" fillId="0" borderId="13" xfId="0" applyNumberFormat="1" applyFont="1" applyBorder="1" applyAlignment="1">
      <alignment horizontal="left" vertical="center" wrapText="1"/>
    </xf>
    <xf numFmtId="0" fontId="29" fillId="0" borderId="13" xfId="0" applyFont="1" applyBorder="1" applyAlignment="1">
      <alignment horizontal="left" vertical="center"/>
    </xf>
    <xf numFmtId="0" fontId="68" fillId="18" borderId="13" xfId="0" applyFont="1" applyFill="1" applyBorder="1" applyAlignment="1">
      <alignment vertical="center"/>
    </xf>
    <xf numFmtId="0" fontId="29" fillId="21" borderId="10" xfId="0" applyFont="1" applyFill="1" applyBorder="1" applyAlignment="1">
      <alignment vertical="center" wrapText="1"/>
    </xf>
  </cellXfs>
  <cellStyles count="3">
    <cellStyle name="Comma" xfId="1" builtinId="3"/>
    <cellStyle name="Hyperlink" xfId="2" builtinId="8"/>
    <cellStyle name="Normal" xfId="0" builtinId="0"/>
  </cellStyles>
  <dxfs count="4">
    <dxf>
      <numFmt numFmtId="0" formatCode="General"/>
    </dxf>
    <dxf>
      <alignment horizontal="center" vertical="bottom" textRotation="0" wrapText="0" indent="0" justifyLastLine="0" shrinkToFit="0" readingOrder="0"/>
    </dxf>
    <dxf>
      <numFmt numFmtId="0" formatCode="General"/>
    </dxf>
    <dxf>
      <fill>
        <patternFill patternType="solid">
          <fgColor rgb="FF92D050"/>
          <bgColor rgb="FF000000"/>
        </patternFill>
      </fill>
    </dxf>
  </dxfs>
  <tableStyles count="0" defaultTableStyle="TableStyleMedium2" defaultPivotStyle="PivotStyleLight16"/>
  <colors>
    <mruColors>
      <color rgb="FFFF330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86537.617F77E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596900</xdr:colOff>
      <xdr:row>5</xdr:row>
      <xdr:rowOff>152400</xdr:rowOff>
    </xdr:from>
    <xdr:to>
      <xdr:col>13</xdr:col>
      <xdr:colOff>12700</xdr:colOff>
      <xdr:row>26</xdr:row>
      <xdr:rowOff>31750</xdr:rowOff>
    </xdr:to>
    <xdr:pic>
      <xdr:nvPicPr>
        <xdr:cNvPr id="3" name="Picture 2">
          <a:extLst>
            <a:ext uri="{FF2B5EF4-FFF2-40B4-BE49-F238E27FC236}">
              <a16:creationId xmlns:a16="http://schemas.microsoft.com/office/drawing/2014/main" id="{BAAC72A7-A3AE-4B8D-83E7-FC02A4AC801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64100" y="1073150"/>
          <a:ext cx="3073400"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Tze Hong Ng" id="{8955C08A-2937-4927-909C-D3416B399F1D}" userId="S::hng@kalsec.com::e9368b5a-bc70-44e7-b1b2-cbda1a37bfd0" providerId="AD"/>
  <person displayName="Sandra Lee" id="{79FFA487-D6A8-4066-9C6A-D5AE5AA51B24}" userId="S::slee@kalsec.com::95802f59-401d-4012-bba6-7a7ce48011c1" providerId="AD"/>
  <person displayName="Sudarat Boonnarkka" id="{1CC5D1FC-AC7A-4EE4-9775-EC38C37D2474}" userId="S::Sudarat.Boonnarkka@caldic.com::de1f28d0-436d-4345-9bc5-60611d70046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700-000000000000}" autoFormatId="16" applyNumberFormats="0" applyBorderFormats="0" applyFontFormats="0" applyPatternFormats="0" applyAlignmentFormats="0" applyWidthHeightFormats="0">
  <queryTableRefresh nextId="5">
    <queryTableFields count="3">
      <queryTableField id="1" name="Column1" tableColumnId="1"/>
      <queryTableField id="2" name="Column2" tableColumnId="2"/>
      <queryTableField id="3" name="UPPERCAS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8690BA-AD8F-4497-8D58-5813E5B78E49}" name="Table1_2" displayName="Table1_2" ref="A1:C193" tableType="queryTable" totalsRowShown="0">
  <autoFilter ref="A1:C193" xr:uid="{8BA9707F-804C-4DA3-8165-977D8E075B3E}"/>
  <sortState xmlns:xlrd2="http://schemas.microsoft.com/office/spreadsheetml/2017/richdata2" ref="A2:C193">
    <sortCondition ref="C2:C194"/>
  </sortState>
  <tableColumns count="3">
    <tableColumn id="1" xr3:uid="{CDA3348B-FC7B-4625-B7F3-892A802B039A}" uniqueName="1" name="Column1" queryTableFieldId="1" dataDxfId="2"/>
    <tableColumn id="2" xr3:uid="{C3B58523-5F75-4DC7-99FE-0AB080E62B88}" uniqueName="2" name="Column2" queryTableFieldId="2" dataDxfId="1"/>
    <tableColumn id="3" xr3:uid="{DD3EC75F-D5E9-4D09-8654-58A1ACD3D811}" uniqueName="3" name="UPPERCAS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81" dT="2025-08-04T14:51:07.99" personId="{1CC5D1FC-AC7A-4EE4-9775-EC38C37D2474}" id="{888BD9B4-182F-4702-8767-F4B66B8AC05F}">
    <text>The pack size of this item is only in 11.34kg.</text>
  </threadedComment>
  <threadedComment ref="I192" dT="2025-09-09T17:52:35.15" personId="{1CC5D1FC-AC7A-4EE4-9775-EC38C37D2474}" id="{2ADEA4FE-9B6B-4EBD-B63E-B8FF2A794E0B}">
    <text>Packing size 10 kg BIB</text>
  </threadedComment>
  <threadedComment ref="G562" dT="2020-04-16T04:20:25.26" personId="{79FFA487-D6A8-4066-9C6A-D5AE5AA51B24}" id="{1EF196D1-582E-4DEB-88B7-D14686CA2775}">
    <text>Discount $6/kg for +-500 kg</text>
  </threadedComment>
  <threadedComment ref="H562" dT="2020-04-16T04:20:36.85" personId="{79FFA487-D6A8-4066-9C6A-D5AE5AA51B24}" id="{A7AE4AC2-079A-4F8C-95CD-31A8F3276B96}">
    <text>Discount $6/kg for +-500 kg</text>
  </threadedComment>
  <threadedComment ref="C943" dT="2022-10-30T13:55:03.81" personId="{8955C08A-2937-4927-909C-D3416B399F1D}" id="{BB134A77-A3E2-4E6A-A87C-5103266F945B}">
    <text>deactivate possibility</text>
  </threadedComment>
  <threadedComment ref="A968" dT="2022-10-30T13:59:21.90" personId="{8955C08A-2937-4927-909C-D3416B399F1D}" id="{EBBE803C-18A7-43F7-89E4-80926DA99F82}">
    <text>griffith</text>
  </threadedComment>
  <threadedComment ref="G1177" dT="2020-04-16T04:20:25.26" personId="{79FFA487-D6A8-4066-9C6A-D5AE5AA51B24}" id="{A14023E9-525B-4E7B-AF70-798971F5B5AF}">
    <text>Discount $6/kg for +-500 kg</text>
  </threadedComment>
  <threadedComment ref="H1177" dT="2020-04-16T04:20:36.85" personId="{79FFA487-D6A8-4066-9C6A-D5AE5AA51B24}" id="{BB965487-26AF-451F-9C58-0D94ADF63A9F}">
    <text>Discount $6/kg for +-500 kg</text>
  </threadedComment>
  <threadedComment ref="A1500" dT="2022-10-30T13:59:21.90" personId="{8955C08A-2937-4927-909C-D3416B399F1D}" id="{4EE91507-84BD-4E4A-B8CF-6DA00C2B895C}">
    <text>griffith</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AC28A-1100-40B3-960A-36CC02971343}">
  <sheetPr codeName="Sheet1"/>
  <dimension ref="A4:C8"/>
  <sheetViews>
    <sheetView workbookViewId="0">
      <selection activeCell="G16" sqref="G16"/>
    </sheetView>
  </sheetViews>
  <sheetFormatPr defaultRowHeight="14.5" x14ac:dyDescent="0.35"/>
  <cols>
    <col min="2" max="2" width="19" customWidth="1"/>
  </cols>
  <sheetData>
    <row r="4" spans="1:3" ht="26" x14ac:dyDescent="0.6">
      <c r="A4" s="39" t="s">
        <v>0</v>
      </c>
      <c r="B4" s="40"/>
    </row>
    <row r="6" spans="1:3" ht="21.75" customHeight="1" x14ac:dyDescent="0.35">
      <c r="B6" s="37" t="s">
        <v>1</v>
      </c>
      <c r="C6" t="s">
        <v>2</v>
      </c>
    </row>
    <row r="8" spans="1:3" ht="24.75" customHeight="1" x14ac:dyDescent="0.35">
      <c r="B8" s="38" t="s">
        <v>3</v>
      </c>
      <c r="C8"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9D1F-7F84-4327-99B3-9B3CBC8240F0}">
  <sheetPr codeName="Sheet2" filterMode="1"/>
  <dimension ref="A2:AT1620"/>
  <sheetViews>
    <sheetView tabSelected="1" zoomScale="70" zoomScaleNormal="70" workbookViewId="0">
      <pane xSplit="5" ySplit="2" topLeftCell="G364" activePane="bottomRight" state="frozen"/>
      <selection activeCell="G16" sqref="G16"/>
      <selection pane="topRight" activeCell="G16" sqref="G16"/>
      <selection pane="bottomLeft" activeCell="G16" sqref="G16"/>
      <selection pane="bottomRight" activeCell="A1008" sqref="A1008:XFD1008"/>
    </sheetView>
  </sheetViews>
  <sheetFormatPr defaultColWidth="9.1796875" defaultRowHeight="15.65" customHeight="1" x14ac:dyDescent="0.35"/>
  <cols>
    <col min="1" max="1" width="14.1796875" style="136" customWidth="1"/>
    <col min="2" max="2" width="19" style="136" customWidth="1"/>
    <col min="3" max="3" width="40.453125" style="71" customWidth="1"/>
    <col min="4" max="4" width="28.90625" style="72" customWidth="1"/>
    <col min="5" max="5" width="39.6328125" style="72" bestFit="1" customWidth="1"/>
    <col min="6" max="6" width="43" style="71" hidden="1" customWidth="1"/>
    <col min="7" max="7" width="29.26953125" style="81" customWidth="1"/>
    <col min="8" max="8" width="29.81640625" style="81" bestFit="1" customWidth="1"/>
    <col min="9" max="9" width="22.08984375" style="71" customWidth="1"/>
    <col min="10" max="10" width="21.54296875" style="71" customWidth="1"/>
    <col min="11" max="11" width="36.26953125" style="82" customWidth="1"/>
    <col min="12" max="12" width="27.81640625" style="71" customWidth="1"/>
    <col min="13" max="13" width="9.1796875" style="71" customWidth="1"/>
    <col min="14" max="14" width="73.26953125" style="69" customWidth="1"/>
    <col min="15" max="15" width="19.54296875" style="71" customWidth="1"/>
    <col min="16" max="16" width="22.81640625" style="71" customWidth="1"/>
    <col min="17" max="16384" width="9.1796875" style="71"/>
  </cols>
  <sheetData>
    <row r="2" spans="1:46" ht="36.65" customHeight="1" x14ac:dyDescent="0.35">
      <c r="A2" s="137" t="s">
        <v>5</v>
      </c>
      <c r="B2" s="408" t="s">
        <v>1762</v>
      </c>
      <c r="C2" s="73" t="s">
        <v>6</v>
      </c>
      <c r="D2" s="74" t="s">
        <v>7</v>
      </c>
      <c r="E2" s="74" t="s">
        <v>8</v>
      </c>
      <c r="F2" s="73" t="e" cm="1">
        <f t="array" ref="F2">F2:E11Note about the product</f>
        <v>#NAME?</v>
      </c>
      <c r="G2" s="602" t="s">
        <v>9</v>
      </c>
      <c r="H2" s="603" t="s">
        <v>10</v>
      </c>
      <c r="I2" s="73" t="s">
        <v>1794</v>
      </c>
      <c r="J2" s="83" t="s">
        <v>11</v>
      </c>
      <c r="K2" s="84" t="s">
        <v>12</v>
      </c>
      <c r="L2" s="83" t="s">
        <v>13</v>
      </c>
      <c r="M2" s="85" t="s">
        <v>14</v>
      </c>
      <c r="N2" s="83" t="s">
        <v>15</v>
      </c>
    </row>
    <row r="3" spans="1:46" ht="15.65" hidden="1" customHeight="1" x14ac:dyDescent="0.35">
      <c r="A3" s="138" t="s">
        <v>16</v>
      </c>
      <c r="B3" s="138"/>
      <c r="C3" s="75" t="s">
        <v>17</v>
      </c>
      <c r="D3" s="372" t="s">
        <v>18</v>
      </c>
      <c r="E3" s="371" t="s">
        <v>1649</v>
      </c>
      <c r="F3" s="75"/>
      <c r="G3" s="86">
        <v>35</v>
      </c>
      <c r="H3" s="86">
        <v>41</v>
      </c>
      <c r="I3" s="75"/>
      <c r="J3" s="91" t="s">
        <v>19</v>
      </c>
      <c r="K3" s="87">
        <v>45838</v>
      </c>
      <c r="L3" s="75"/>
      <c r="M3" s="75" t="s">
        <v>20</v>
      </c>
      <c r="N3" s="88" t="s">
        <v>21</v>
      </c>
    </row>
    <row r="4" spans="1:46" s="89" customFormat="1" ht="15.65" hidden="1" customHeight="1" x14ac:dyDescent="0.35">
      <c r="A4" s="138" t="s">
        <v>22</v>
      </c>
      <c r="B4" s="138"/>
      <c r="C4" s="75" t="s">
        <v>23</v>
      </c>
      <c r="D4" s="372" t="s">
        <v>18</v>
      </c>
      <c r="E4" s="371" t="s">
        <v>1649</v>
      </c>
      <c r="F4" s="75"/>
      <c r="G4" s="86">
        <v>32</v>
      </c>
      <c r="H4" s="86">
        <v>38</v>
      </c>
      <c r="I4" s="75"/>
      <c r="J4" s="91" t="s">
        <v>19</v>
      </c>
      <c r="K4" s="87">
        <v>45838</v>
      </c>
      <c r="L4" s="75"/>
      <c r="M4" s="75" t="s">
        <v>20</v>
      </c>
      <c r="N4" s="88" t="s">
        <v>21</v>
      </c>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row>
    <row r="5" spans="1:46" s="89" customFormat="1" ht="15.65" hidden="1" customHeight="1" x14ac:dyDescent="0.35">
      <c r="A5" s="138" t="s">
        <v>24</v>
      </c>
      <c r="B5" s="138"/>
      <c r="C5" s="75" t="s">
        <v>25</v>
      </c>
      <c r="D5" s="372" t="s">
        <v>18</v>
      </c>
      <c r="E5" s="371" t="s">
        <v>1649</v>
      </c>
      <c r="F5" s="75"/>
      <c r="G5" s="86">
        <v>29</v>
      </c>
      <c r="H5" s="86">
        <v>35</v>
      </c>
      <c r="I5" s="75"/>
      <c r="J5" s="91" t="s">
        <v>19</v>
      </c>
      <c r="K5" s="87">
        <v>45838</v>
      </c>
      <c r="L5" s="75"/>
      <c r="M5" s="75" t="s">
        <v>20</v>
      </c>
      <c r="N5" s="88" t="s">
        <v>21</v>
      </c>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row>
    <row r="6" spans="1:46" s="89" customFormat="1" ht="15.65" hidden="1" customHeight="1" x14ac:dyDescent="0.35">
      <c r="A6" s="139" t="s">
        <v>87</v>
      </c>
      <c r="B6" s="139"/>
      <c r="C6" s="126" t="s">
        <v>799</v>
      </c>
      <c r="D6" s="372" t="s">
        <v>18</v>
      </c>
      <c r="E6" s="480" t="s">
        <v>1649</v>
      </c>
      <c r="F6" s="75"/>
      <c r="G6" s="604">
        <v>300</v>
      </c>
      <c r="H6" s="123">
        <v>306</v>
      </c>
      <c r="I6" s="75"/>
      <c r="J6" s="91" t="s">
        <v>19</v>
      </c>
      <c r="K6" s="127">
        <v>45747</v>
      </c>
      <c r="L6" s="75"/>
      <c r="M6" s="75" t="s">
        <v>20</v>
      </c>
      <c r="N6" s="88"/>
    </row>
    <row r="7" spans="1:46" s="89" customFormat="1" ht="15.65" hidden="1" customHeight="1" x14ac:dyDescent="0.35">
      <c r="A7" s="131" t="s">
        <v>1422</v>
      </c>
      <c r="B7" s="131"/>
      <c r="C7" s="131" t="s">
        <v>1423</v>
      </c>
      <c r="D7" s="372" t="s">
        <v>18</v>
      </c>
      <c r="E7" s="480" t="s">
        <v>1649</v>
      </c>
      <c r="F7" s="75"/>
      <c r="G7" s="123">
        <v>233</v>
      </c>
      <c r="H7" s="123">
        <v>239</v>
      </c>
      <c r="I7" s="75"/>
      <c r="J7" s="91" t="s">
        <v>19</v>
      </c>
      <c r="K7" s="127">
        <v>45747</v>
      </c>
      <c r="L7" s="75"/>
      <c r="M7" s="75" t="s">
        <v>20</v>
      </c>
      <c r="N7" s="88"/>
    </row>
    <row r="8" spans="1:46" s="89" customFormat="1" ht="15.65" hidden="1" customHeight="1" x14ac:dyDescent="0.35">
      <c r="A8" s="388" t="s">
        <v>1427</v>
      </c>
      <c r="B8" s="388"/>
      <c r="C8" s="76" t="s">
        <v>106</v>
      </c>
      <c r="D8" s="389" t="s">
        <v>18</v>
      </c>
      <c r="E8" s="480" t="s">
        <v>1649</v>
      </c>
      <c r="F8" s="76"/>
      <c r="G8" s="380">
        <v>101</v>
      </c>
      <c r="H8" s="380">
        <v>107</v>
      </c>
      <c r="I8" s="76"/>
      <c r="J8" s="146" t="s">
        <v>19</v>
      </c>
      <c r="K8" s="381">
        <v>45747</v>
      </c>
      <c r="L8" s="76" t="s">
        <v>1428</v>
      </c>
      <c r="M8" s="75" t="s">
        <v>20</v>
      </c>
      <c r="N8" s="385"/>
    </row>
    <row r="9" spans="1:46" s="89" customFormat="1" ht="15.65" hidden="1" customHeight="1" x14ac:dyDescent="0.35">
      <c r="A9" s="138" t="s">
        <v>1129</v>
      </c>
      <c r="B9" s="138"/>
      <c r="C9" s="75" t="s">
        <v>1130</v>
      </c>
      <c r="D9" s="372" t="s">
        <v>18</v>
      </c>
      <c r="E9" s="480" t="s">
        <v>1649</v>
      </c>
      <c r="F9" s="75"/>
      <c r="G9" s="123">
        <v>120</v>
      </c>
      <c r="H9" s="123">
        <v>126</v>
      </c>
      <c r="I9" s="75"/>
      <c r="J9" s="91" t="s">
        <v>19</v>
      </c>
      <c r="K9" s="127">
        <v>45747</v>
      </c>
      <c r="L9" s="75" t="s">
        <v>1426</v>
      </c>
      <c r="M9" s="75" t="s">
        <v>20</v>
      </c>
      <c r="N9" s="88"/>
    </row>
    <row r="10" spans="1:46" s="89" customFormat="1" ht="15.65" hidden="1" customHeight="1" x14ac:dyDescent="0.35">
      <c r="A10" s="138" t="s">
        <v>1429</v>
      </c>
      <c r="B10" s="138"/>
      <c r="C10" s="75" t="s">
        <v>1430</v>
      </c>
      <c r="D10" s="372" t="s">
        <v>18</v>
      </c>
      <c r="E10" s="480" t="s">
        <v>1649</v>
      </c>
      <c r="F10" s="123">
        <v>126</v>
      </c>
      <c r="G10" s="86">
        <v>54.55</v>
      </c>
      <c r="H10" s="122">
        <v>60.55</v>
      </c>
      <c r="I10" s="127"/>
      <c r="J10" s="91" t="s">
        <v>19</v>
      </c>
      <c r="K10" s="127">
        <v>45747</v>
      </c>
      <c r="L10" s="75" t="s">
        <v>1428</v>
      </c>
      <c r="M10" s="75" t="s">
        <v>20</v>
      </c>
      <c r="N10" s="88"/>
    </row>
    <row r="11" spans="1:46" s="89" customFormat="1" ht="15.65" hidden="1" customHeight="1" x14ac:dyDescent="0.35">
      <c r="A11" s="139" t="s">
        <v>414</v>
      </c>
      <c r="B11" s="139"/>
      <c r="C11" s="135" t="s">
        <v>1431</v>
      </c>
      <c r="D11" s="372" t="s">
        <v>18</v>
      </c>
      <c r="E11" s="480" t="s">
        <v>1649</v>
      </c>
      <c r="F11" s="75"/>
      <c r="G11" s="123">
        <v>305</v>
      </c>
      <c r="H11" s="125">
        <v>311</v>
      </c>
      <c r="I11" s="127"/>
      <c r="J11" s="91" t="s">
        <v>19</v>
      </c>
      <c r="K11" s="127">
        <v>45747</v>
      </c>
      <c r="L11" s="75" t="s">
        <v>1428</v>
      </c>
      <c r="M11" s="75" t="s">
        <v>20</v>
      </c>
      <c r="N11" s="88"/>
    </row>
    <row r="12" spans="1:46" s="89" customFormat="1" ht="15.65" hidden="1" customHeight="1" x14ac:dyDescent="0.35">
      <c r="A12" s="138" t="s">
        <v>603</v>
      </c>
      <c r="B12" s="138"/>
      <c r="C12" s="75" t="s">
        <v>1432</v>
      </c>
      <c r="D12" s="372" t="s">
        <v>18</v>
      </c>
      <c r="E12" s="480" t="s">
        <v>1649</v>
      </c>
      <c r="F12" s="75"/>
      <c r="G12" s="86">
        <v>52.05</v>
      </c>
      <c r="H12" s="86">
        <v>58.05</v>
      </c>
      <c r="I12" s="75"/>
      <c r="J12" s="91" t="s">
        <v>19</v>
      </c>
      <c r="K12" s="127">
        <v>45747</v>
      </c>
      <c r="L12" s="75" t="s">
        <v>1426</v>
      </c>
      <c r="M12" s="75" t="s">
        <v>20</v>
      </c>
      <c r="N12" s="88" t="s">
        <v>1433</v>
      </c>
    </row>
    <row r="13" spans="1:46" s="89" customFormat="1" ht="15.65" hidden="1" customHeight="1" x14ac:dyDescent="0.35">
      <c r="A13" s="138" t="s">
        <v>26</v>
      </c>
      <c r="B13" s="138"/>
      <c r="C13" s="75" t="s">
        <v>1434</v>
      </c>
      <c r="D13" s="372" t="s">
        <v>18</v>
      </c>
      <c r="E13" s="480" t="s">
        <v>1649</v>
      </c>
      <c r="F13" s="75"/>
      <c r="G13" s="90">
        <v>32</v>
      </c>
      <c r="H13" s="90">
        <v>38</v>
      </c>
      <c r="I13" s="75"/>
      <c r="J13" s="91" t="s">
        <v>19</v>
      </c>
      <c r="K13" s="127">
        <v>45747</v>
      </c>
      <c r="L13" s="75" t="s">
        <v>1426</v>
      </c>
      <c r="M13" s="75" t="s">
        <v>20</v>
      </c>
      <c r="N13" s="88"/>
    </row>
    <row r="14" spans="1:46" s="89" customFormat="1" ht="15.65" hidden="1" customHeight="1" x14ac:dyDescent="0.35">
      <c r="A14" s="138" t="s">
        <v>29</v>
      </c>
      <c r="B14" s="138"/>
      <c r="C14" s="75" t="s">
        <v>622</v>
      </c>
      <c r="D14" s="372" t="s">
        <v>18</v>
      </c>
      <c r="E14" s="480" t="s">
        <v>1649</v>
      </c>
      <c r="F14" s="75"/>
      <c r="G14" s="90">
        <v>46</v>
      </c>
      <c r="H14" s="90">
        <v>52</v>
      </c>
      <c r="I14" s="75"/>
      <c r="J14" s="91" t="s">
        <v>19</v>
      </c>
      <c r="K14" s="127">
        <v>45747</v>
      </c>
      <c r="L14" s="75" t="s">
        <v>1426</v>
      </c>
      <c r="M14" s="75" t="s">
        <v>20</v>
      </c>
      <c r="N14" s="88"/>
    </row>
    <row r="15" spans="1:46" s="89" customFormat="1" ht="15.65" hidden="1" customHeight="1" x14ac:dyDescent="0.35">
      <c r="A15" s="138" t="s">
        <v>31</v>
      </c>
      <c r="B15" s="138"/>
      <c r="C15" s="75" t="s">
        <v>1435</v>
      </c>
      <c r="D15" s="372" t="s">
        <v>18</v>
      </c>
      <c r="E15" s="480" t="s">
        <v>1649</v>
      </c>
      <c r="F15" s="75"/>
      <c r="G15" s="90">
        <v>67</v>
      </c>
      <c r="H15" s="90">
        <v>73</v>
      </c>
      <c r="I15" s="75"/>
      <c r="J15" s="91" t="s">
        <v>19</v>
      </c>
      <c r="K15" s="127">
        <v>45747</v>
      </c>
      <c r="L15" s="75" t="s">
        <v>1426</v>
      </c>
      <c r="M15" s="75" t="s">
        <v>20</v>
      </c>
      <c r="N15" s="88"/>
    </row>
    <row r="16" spans="1:46" s="89" customFormat="1" ht="15.65" hidden="1" customHeight="1" x14ac:dyDescent="0.35">
      <c r="A16" s="121" t="s">
        <v>1436</v>
      </c>
      <c r="B16" s="121"/>
      <c r="C16" s="75" t="s">
        <v>1437</v>
      </c>
      <c r="D16" s="372" t="s">
        <v>18</v>
      </c>
      <c r="E16" s="480" t="s">
        <v>1649</v>
      </c>
      <c r="F16" s="75"/>
      <c r="G16" s="90">
        <v>50</v>
      </c>
      <c r="H16" s="90">
        <v>56</v>
      </c>
      <c r="I16" s="75"/>
      <c r="J16" s="91" t="s">
        <v>19</v>
      </c>
      <c r="K16" s="127">
        <v>45747</v>
      </c>
      <c r="L16" s="75" t="s">
        <v>1426</v>
      </c>
      <c r="M16" s="75" t="s">
        <v>20</v>
      </c>
      <c r="N16" s="88"/>
    </row>
    <row r="17" spans="1:14" s="89" customFormat="1" ht="29.5" hidden="1" customHeight="1" x14ac:dyDescent="0.35">
      <c r="A17" s="138" t="s">
        <v>35</v>
      </c>
      <c r="B17" s="138"/>
      <c r="C17" s="75" t="s">
        <v>1438</v>
      </c>
      <c r="D17" s="372" t="s">
        <v>18</v>
      </c>
      <c r="E17" s="480" t="s">
        <v>1649</v>
      </c>
      <c r="F17" s="75"/>
      <c r="G17" s="90">
        <v>52.6</v>
      </c>
      <c r="H17" s="90">
        <v>58.6</v>
      </c>
      <c r="I17" s="75"/>
      <c r="J17" s="91" t="s">
        <v>19</v>
      </c>
      <c r="K17" s="127">
        <v>45747</v>
      </c>
      <c r="L17" s="75" t="s">
        <v>1426</v>
      </c>
      <c r="M17" s="75" t="s">
        <v>20</v>
      </c>
      <c r="N17" s="88"/>
    </row>
    <row r="18" spans="1:14" s="89" customFormat="1" ht="15.65" hidden="1" customHeight="1" x14ac:dyDescent="0.35">
      <c r="A18" s="138" t="s">
        <v>37</v>
      </c>
      <c r="B18" s="138"/>
      <c r="C18" s="75" t="s">
        <v>1439</v>
      </c>
      <c r="D18" s="372" t="s">
        <v>18</v>
      </c>
      <c r="E18" s="480" t="s">
        <v>1649</v>
      </c>
      <c r="F18" s="75"/>
      <c r="G18" s="90">
        <v>56</v>
      </c>
      <c r="H18" s="90">
        <v>62</v>
      </c>
      <c r="I18" s="75"/>
      <c r="J18" s="91" t="s">
        <v>19</v>
      </c>
      <c r="K18" s="127">
        <v>45747</v>
      </c>
      <c r="L18" s="75" t="s">
        <v>1426</v>
      </c>
      <c r="M18" s="75" t="s">
        <v>20</v>
      </c>
      <c r="N18" s="88"/>
    </row>
    <row r="19" spans="1:14" s="89" customFormat="1" ht="15.65" hidden="1" customHeight="1" x14ac:dyDescent="0.35">
      <c r="A19" s="138" t="s">
        <v>39</v>
      </c>
      <c r="B19" s="138"/>
      <c r="C19" s="75" t="s">
        <v>1440</v>
      </c>
      <c r="D19" s="372" t="s">
        <v>18</v>
      </c>
      <c r="E19" s="480" t="s">
        <v>1649</v>
      </c>
      <c r="F19" s="75"/>
      <c r="G19" s="90">
        <v>48</v>
      </c>
      <c r="H19" s="90">
        <v>54</v>
      </c>
      <c r="I19" s="75"/>
      <c r="J19" s="91" t="s">
        <v>19</v>
      </c>
      <c r="K19" s="127">
        <v>45747</v>
      </c>
      <c r="L19" s="75" t="s">
        <v>1426</v>
      </c>
      <c r="M19" s="75" t="s">
        <v>20</v>
      </c>
      <c r="N19" s="88"/>
    </row>
    <row r="20" spans="1:14" s="89" customFormat="1" ht="15.65" hidden="1" customHeight="1" x14ac:dyDescent="0.35">
      <c r="A20" s="121" t="s">
        <v>41</v>
      </c>
      <c r="B20" s="121"/>
      <c r="C20" s="75" t="s">
        <v>1441</v>
      </c>
      <c r="D20" s="372" t="s">
        <v>18</v>
      </c>
      <c r="E20" s="480" t="s">
        <v>1649</v>
      </c>
      <c r="F20" s="75"/>
      <c r="G20" s="90">
        <v>62</v>
      </c>
      <c r="H20" s="90">
        <v>68</v>
      </c>
      <c r="I20" s="75"/>
      <c r="J20" s="91" t="s">
        <v>19</v>
      </c>
      <c r="K20" s="127">
        <v>45747</v>
      </c>
      <c r="L20" s="75" t="s">
        <v>1426</v>
      </c>
      <c r="M20" s="75" t="s">
        <v>20</v>
      </c>
      <c r="N20" s="88"/>
    </row>
    <row r="21" spans="1:14" s="89" customFormat="1" ht="15.65" hidden="1" customHeight="1" x14ac:dyDescent="0.35">
      <c r="A21" s="138" t="s">
        <v>43</v>
      </c>
      <c r="B21" s="138"/>
      <c r="C21" s="75" t="s">
        <v>44</v>
      </c>
      <c r="D21" s="372" t="s">
        <v>18</v>
      </c>
      <c r="E21" s="480" t="s">
        <v>1649</v>
      </c>
      <c r="F21" s="75"/>
      <c r="G21" s="90">
        <v>78</v>
      </c>
      <c r="H21" s="90">
        <v>84</v>
      </c>
      <c r="I21" s="75"/>
      <c r="J21" s="91" t="s">
        <v>19</v>
      </c>
      <c r="K21" s="127">
        <v>45747</v>
      </c>
      <c r="L21" s="75" t="s">
        <v>1426</v>
      </c>
      <c r="M21" s="75" t="s">
        <v>20</v>
      </c>
      <c r="N21" s="88"/>
    </row>
    <row r="22" spans="1:14" s="89" customFormat="1" ht="15.65" hidden="1" customHeight="1" x14ac:dyDescent="0.35">
      <c r="A22" s="138" t="s">
        <v>45</v>
      </c>
      <c r="B22" s="138"/>
      <c r="C22" s="75" t="s">
        <v>1442</v>
      </c>
      <c r="D22" s="372" t="s">
        <v>18</v>
      </c>
      <c r="E22" s="480" t="s">
        <v>1649</v>
      </c>
      <c r="F22" s="75"/>
      <c r="G22" s="90">
        <v>25</v>
      </c>
      <c r="H22" s="90">
        <v>31</v>
      </c>
      <c r="I22" s="75"/>
      <c r="J22" s="91" t="s">
        <v>19</v>
      </c>
      <c r="K22" s="127">
        <v>45747</v>
      </c>
      <c r="L22" s="75" t="s">
        <v>1426</v>
      </c>
      <c r="M22" s="75" t="s">
        <v>20</v>
      </c>
      <c r="N22" s="88"/>
    </row>
    <row r="23" spans="1:14" s="89" customFormat="1" ht="15.65" hidden="1" customHeight="1" x14ac:dyDescent="0.2">
      <c r="A23" s="138" t="s">
        <v>47</v>
      </c>
      <c r="B23" s="406" t="s">
        <v>1753</v>
      </c>
      <c r="C23" s="75" t="s">
        <v>48</v>
      </c>
      <c r="D23" s="372" t="s">
        <v>18</v>
      </c>
      <c r="E23" s="480" t="s">
        <v>1649</v>
      </c>
      <c r="F23" s="75"/>
      <c r="G23" s="90">
        <v>32</v>
      </c>
      <c r="H23" s="90">
        <v>38</v>
      </c>
      <c r="I23" s="75"/>
      <c r="J23" s="91" t="s">
        <v>19</v>
      </c>
      <c r="K23" s="127">
        <v>45747</v>
      </c>
      <c r="L23" s="75" t="s">
        <v>1426</v>
      </c>
      <c r="M23" s="75" t="s">
        <v>20</v>
      </c>
      <c r="N23" s="88"/>
    </row>
    <row r="24" spans="1:14" s="89" customFormat="1" ht="15.65" hidden="1" customHeight="1" x14ac:dyDescent="0.35">
      <c r="A24" s="138" t="s">
        <v>49</v>
      </c>
      <c r="B24" s="138"/>
      <c r="C24" s="75" t="s">
        <v>1479</v>
      </c>
      <c r="D24" s="372" t="s">
        <v>18</v>
      </c>
      <c r="E24" s="480" t="s">
        <v>1649</v>
      </c>
      <c r="F24" s="75"/>
      <c r="G24" s="90">
        <v>60</v>
      </c>
      <c r="H24" s="90">
        <v>66</v>
      </c>
      <c r="I24" s="75"/>
      <c r="J24" s="91" t="s">
        <v>19</v>
      </c>
      <c r="K24" s="127">
        <v>45747</v>
      </c>
      <c r="L24" s="75" t="s">
        <v>1426</v>
      </c>
      <c r="M24" s="75" t="s">
        <v>20</v>
      </c>
      <c r="N24" s="88"/>
    </row>
    <row r="25" spans="1:14" s="89" customFormat="1" ht="15.65" hidden="1" customHeight="1" x14ac:dyDescent="0.25">
      <c r="A25" s="138" t="s">
        <v>342</v>
      </c>
      <c r="B25" s="138"/>
      <c r="C25" s="75" t="s">
        <v>1480</v>
      </c>
      <c r="D25" s="372" t="s">
        <v>18</v>
      </c>
      <c r="E25" s="480" t="s">
        <v>1649</v>
      </c>
      <c r="F25" s="75"/>
      <c r="G25" s="86">
        <v>29.21</v>
      </c>
      <c r="H25" s="86">
        <v>35.21</v>
      </c>
      <c r="I25" s="75"/>
      <c r="J25" s="75" t="s">
        <v>1481</v>
      </c>
      <c r="K25" s="141" t="s">
        <v>1482</v>
      </c>
      <c r="L25" s="75" t="s">
        <v>1483</v>
      </c>
      <c r="M25" s="75" t="s">
        <v>20</v>
      </c>
      <c r="N25" s="88"/>
    </row>
    <row r="26" spans="1:14" s="89" customFormat="1" ht="15.65" hidden="1" customHeight="1" x14ac:dyDescent="0.25">
      <c r="A26" s="138" t="s">
        <v>734</v>
      </c>
      <c r="B26" s="138"/>
      <c r="C26" s="75" t="s">
        <v>1022</v>
      </c>
      <c r="D26" s="372" t="s">
        <v>18</v>
      </c>
      <c r="E26" s="480" t="s">
        <v>1649</v>
      </c>
      <c r="F26" s="75"/>
      <c r="G26" s="86">
        <v>224</v>
      </c>
      <c r="H26" s="86">
        <v>230</v>
      </c>
      <c r="I26" s="135"/>
      <c r="J26" s="75" t="s">
        <v>1481</v>
      </c>
      <c r="K26" s="141" t="s">
        <v>1482</v>
      </c>
      <c r="L26" s="75" t="s">
        <v>1483</v>
      </c>
      <c r="M26" s="75" t="s">
        <v>20</v>
      </c>
      <c r="N26" s="75"/>
    </row>
    <row r="27" spans="1:14" s="89" customFormat="1" ht="15.65" hidden="1" customHeight="1" x14ac:dyDescent="0.25">
      <c r="A27" s="138" t="s">
        <v>1015</v>
      </c>
      <c r="B27" s="138"/>
      <c r="C27" s="75" t="s">
        <v>1016</v>
      </c>
      <c r="D27" s="372" t="s">
        <v>18</v>
      </c>
      <c r="E27" s="480" t="s">
        <v>1649</v>
      </c>
      <c r="F27" s="75"/>
      <c r="G27" s="86">
        <v>93.5</v>
      </c>
      <c r="H27" s="86">
        <v>99.5</v>
      </c>
      <c r="I27" s="75"/>
      <c r="J27" s="75" t="s">
        <v>1481</v>
      </c>
      <c r="K27" s="141" t="s">
        <v>1482</v>
      </c>
      <c r="L27" s="75" t="s">
        <v>1483</v>
      </c>
      <c r="M27" s="75" t="s">
        <v>20</v>
      </c>
      <c r="N27" s="88"/>
    </row>
    <row r="28" spans="1:14" s="89" customFormat="1" ht="15.65" hidden="1" customHeight="1" x14ac:dyDescent="0.25">
      <c r="A28" s="138" t="s">
        <v>610</v>
      </c>
      <c r="B28" s="138"/>
      <c r="C28" s="75" t="s">
        <v>1484</v>
      </c>
      <c r="D28" s="372" t="s">
        <v>18</v>
      </c>
      <c r="E28" s="480" t="s">
        <v>1649</v>
      </c>
      <c r="F28" s="75"/>
      <c r="G28" s="86">
        <v>46.5</v>
      </c>
      <c r="H28" s="86">
        <v>52.5</v>
      </c>
      <c r="I28" s="75"/>
      <c r="J28" s="75" t="s">
        <v>1481</v>
      </c>
      <c r="K28" s="141" t="s">
        <v>1482</v>
      </c>
      <c r="L28" s="75" t="s">
        <v>1483</v>
      </c>
      <c r="M28" s="75" t="s">
        <v>20</v>
      </c>
      <c r="N28" s="88"/>
    </row>
    <row r="29" spans="1:14" s="89" customFormat="1" ht="15.65" hidden="1" customHeight="1" x14ac:dyDescent="0.25">
      <c r="A29" s="409">
        <v>19.010000000000002</v>
      </c>
      <c r="B29" s="409"/>
      <c r="C29" s="126" t="s">
        <v>904</v>
      </c>
      <c r="D29" s="372" t="s">
        <v>18</v>
      </c>
      <c r="E29" s="480" t="s">
        <v>1649</v>
      </c>
      <c r="F29" s="338">
        <v>45747</v>
      </c>
      <c r="G29" s="98">
        <v>69.8</v>
      </c>
      <c r="H29" s="98">
        <v>75.8</v>
      </c>
      <c r="I29" s="129"/>
      <c r="J29" s="75" t="s">
        <v>1481</v>
      </c>
      <c r="K29" s="141" t="s">
        <v>1482</v>
      </c>
      <c r="L29" s="75" t="s">
        <v>1483</v>
      </c>
      <c r="M29" s="75" t="s">
        <v>20</v>
      </c>
      <c r="N29" s="88"/>
    </row>
    <row r="30" spans="1:14" s="89" customFormat="1" ht="15.65" hidden="1" customHeight="1" x14ac:dyDescent="0.25">
      <c r="A30" s="131" t="s">
        <v>817</v>
      </c>
      <c r="B30" s="131"/>
      <c r="C30" s="131" t="s">
        <v>1485</v>
      </c>
      <c r="D30" s="372" t="s">
        <v>18</v>
      </c>
      <c r="E30" s="480" t="s">
        <v>1649</v>
      </c>
      <c r="F30" s="338">
        <v>45747</v>
      </c>
      <c r="G30" s="98">
        <v>131.94999999999999</v>
      </c>
      <c r="H30" s="98">
        <v>137.94999999999999</v>
      </c>
      <c r="I30" s="129"/>
      <c r="J30" s="75" t="s">
        <v>1481</v>
      </c>
      <c r="K30" s="141" t="s">
        <v>1482</v>
      </c>
      <c r="L30" s="75" t="s">
        <v>1483</v>
      </c>
      <c r="M30" s="75" t="s">
        <v>20</v>
      </c>
      <c r="N30" s="88"/>
    </row>
    <row r="31" spans="1:14" s="89" customFormat="1" ht="15.65" hidden="1" customHeight="1" x14ac:dyDescent="0.25">
      <c r="A31" s="138" t="s">
        <v>862</v>
      </c>
      <c r="B31" s="138"/>
      <c r="C31" s="75" t="s">
        <v>1486</v>
      </c>
      <c r="D31" s="372" t="s">
        <v>18</v>
      </c>
      <c r="E31" s="480" t="s">
        <v>1649</v>
      </c>
      <c r="F31" s="75"/>
      <c r="G31" s="86">
        <v>223.35</v>
      </c>
      <c r="H31" s="86">
        <v>229.35</v>
      </c>
      <c r="I31" s="75"/>
      <c r="J31" s="75" t="s">
        <v>1481</v>
      </c>
      <c r="K31" s="141" t="s">
        <v>1482</v>
      </c>
      <c r="L31" s="75" t="s">
        <v>1483</v>
      </c>
      <c r="M31" s="75" t="s">
        <v>20</v>
      </c>
      <c r="N31" s="88"/>
    </row>
    <row r="32" spans="1:14" s="89" customFormat="1" ht="15.65" hidden="1" customHeight="1" x14ac:dyDescent="0.25">
      <c r="A32" s="138" t="s">
        <v>801</v>
      </c>
      <c r="B32" s="138"/>
      <c r="C32" s="75" t="s">
        <v>1487</v>
      </c>
      <c r="D32" s="372" t="s">
        <v>18</v>
      </c>
      <c r="E32" s="480" t="s">
        <v>1649</v>
      </c>
      <c r="F32" s="75"/>
      <c r="G32" s="86">
        <v>145</v>
      </c>
      <c r="H32" s="86">
        <v>151</v>
      </c>
      <c r="I32" s="75"/>
      <c r="J32" s="75" t="s">
        <v>1481</v>
      </c>
      <c r="K32" s="141" t="s">
        <v>1482</v>
      </c>
      <c r="L32" s="75" t="s">
        <v>1483</v>
      </c>
      <c r="M32" s="75" t="s">
        <v>20</v>
      </c>
      <c r="N32" s="88"/>
    </row>
    <row r="33" spans="1:14" s="89" customFormat="1" ht="15.65" hidden="1" customHeight="1" x14ac:dyDescent="0.25">
      <c r="A33" s="138" t="s">
        <v>63</v>
      </c>
      <c r="B33" s="138"/>
      <c r="C33" s="75" t="s">
        <v>1488</v>
      </c>
      <c r="D33" s="372" t="s">
        <v>18</v>
      </c>
      <c r="E33" s="480" t="s">
        <v>1649</v>
      </c>
      <c r="F33" s="75"/>
      <c r="G33" s="86">
        <v>28</v>
      </c>
      <c r="H33" s="86">
        <v>34</v>
      </c>
      <c r="I33" s="75"/>
      <c r="J33" s="75" t="s">
        <v>1481</v>
      </c>
      <c r="K33" s="141" t="s">
        <v>1482</v>
      </c>
      <c r="L33" s="75" t="s">
        <v>1483</v>
      </c>
      <c r="M33" s="75" t="s">
        <v>20</v>
      </c>
      <c r="N33" s="88"/>
    </row>
    <row r="34" spans="1:14" s="89" customFormat="1" ht="15.65" hidden="1" customHeight="1" x14ac:dyDescent="0.25">
      <c r="A34" s="139" t="s">
        <v>200</v>
      </c>
      <c r="B34" s="139"/>
      <c r="C34" s="135" t="s">
        <v>518</v>
      </c>
      <c r="D34" s="372" t="s">
        <v>18</v>
      </c>
      <c r="E34" s="480" t="s">
        <v>1649</v>
      </c>
      <c r="F34" s="338">
        <v>45657</v>
      </c>
      <c r="G34" s="98">
        <v>42</v>
      </c>
      <c r="H34" s="98">
        <v>48</v>
      </c>
      <c r="I34" s="75"/>
      <c r="J34" s="75" t="s">
        <v>1481</v>
      </c>
      <c r="K34" s="141" t="s">
        <v>1482</v>
      </c>
      <c r="L34" s="75" t="s">
        <v>1483</v>
      </c>
      <c r="M34" s="75" t="s">
        <v>20</v>
      </c>
      <c r="N34" s="88"/>
    </row>
    <row r="35" spans="1:14" s="96" customFormat="1" ht="15.65" hidden="1" customHeight="1" x14ac:dyDescent="0.25">
      <c r="A35" s="138" t="s">
        <v>527</v>
      </c>
      <c r="B35" s="138"/>
      <c r="C35" s="75" t="s">
        <v>1489</v>
      </c>
      <c r="D35" s="372" t="s">
        <v>18</v>
      </c>
      <c r="E35" s="480" t="s">
        <v>1649</v>
      </c>
      <c r="F35" s="75"/>
      <c r="G35" s="86">
        <v>100</v>
      </c>
      <c r="H35" s="86">
        <v>106</v>
      </c>
      <c r="I35" s="75"/>
      <c r="J35" s="75" t="s">
        <v>1481</v>
      </c>
      <c r="K35" s="141" t="s">
        <v>1482</v>
      </c>
      <c r="L35" s="75" t="s">
        <v>1483</v>
      </c>
      <c r="M35" s="75" t="s">
        <v>20</v>
      </c>
      <c r="N35" s="88"/>
    </row>
    <row r="36" spans="1:14" s="89" customFormat="1" ht="15.65" hidden="1" customHeight="1" x14ac:dyDescent="0.25">
      <c r="A36" s="138" t="s">
        <v>1490</v>
      </c>
      <c r="B36" s="138"/>
      <c r="C36" s="75" t="s">
        <v>1491</v>
      </c>
      <c r="D36" s="372" t="s">
        <v>18</v>
      </c>
      <c r="E36" s="480" t="s">
        <v>1649</v>
      </c>
      <c r="F36" s="75"/>
      <c r="G36" s="86">
        <v>63.61</v>
      </c>
      <c r="H36" s="86">
        <v>69.61</v>
      </c>
      <c r="I36" s="75"/>
      <c r="J36" s="75" t="s">
        <v>1481</v>
      </c>
      <c r="K36" s="141" t="s">
        <v>1482</v>
      </c>
      <c r="L36" s="75" t="s">
        <v>1483</v>
      </c>
      <c r="M36" s="75" t="s">
        <v>20</v>
      </c>
      <c r="N36" s="88"/>
    </row>
    <row r="37" spans="1:14" s="89" customFormat="1" ht="15.65" hidden="1" customHeight="1" x14ac:dyDescent="0.25">
      <c r="A37" s="138" t="s">
        <v>286</v>
      </c>
      <c r="B37" s="138"/>
      <c r="C37" s="75" t="s">
        <v>666</v>
      </c>
      <c r="D37" s="372" t="s">
        <v>18</v>
      </c>
      <c r="E37" s="480" t="s">
        <v>1649</v>
      </c>
      <c r="F37" s="75"/>
      <c r="G37" s="86">
        <v>40</v>
      </c>
      <c r="H37" s="86">
        <v>46</v>
      </c>
      <c r="I37" s="75"/>
      <c r="J37" s="75" t="s">
        <v>1481</v>
      </c>
      <c r="K37" s="141" t="s">
        <v>1482</v>
      </c>
      <c r="L37" s="75" t="s">
        <v>1483</v>
      </c>
      <c r="M37" s="75" t="s">
        <v>20</v>
      </c>
      <c r="N37" s="88"/>
    </row>
    <row r="38" spans="1:14" s="89" customFormat="1" ht="15.65" hidden="1" customHeight="1" x14ac:dyDescent="0.25">
      <c r="A38" s="138" t="s">
        <v>1017</v>
      </c>
      <c r="B38" s="138"/>
      <c r="C38" s="75" t="s">
        <v>1492</v>
      </c>
      <c r="D38" s="372" t="s">
        <v>18</v>
      </c>
      <c r="E38" s="480" t="s">
        <v>1649</v>
      </c>
      <c r="F38" s="75"/>
      <c r="G38" s="86">
        <v>120.46</v>
      </c>
      <c r="H38" s="86">
        <v>125.46</v>
      </c>
      <c r="I38" s="75"/>
      <c r="J38" s="75" t="s">
        <v>1481</v>
      </c>
      <c r="K38" s="141" t="s">
        <v>1482</v>
      </c>
      <c r="L38" s="75" t="s">
        <v>1483</v>
      </c>
      <c r="M38" s="75" t="s">
        <v>20</v>
      </c>
      <c r="N38" s="88"/>
    </row>
    <row r="39" spans="1:14" s="89" customFormat="1" ht="15.65" hidden="1" customHeight="1" x14ac:dyDescent="0.35">
      <c r="A39" s="138" t="s">
        <v>1498</v>
      </c>
      <c r="B39" s="138"/>
      <c r="C39" s="75" t="s">
        <v>1499</v>
      </c>
      <c r="D39" s="372" t="s">
        <v>18</v>
      </c>
      <c r="E39" s="480" t="s">
        <v>1649</v>
      </c>
      <c r="F39" s="75"/>
      <c r="G39" s="86">
        <v>53.55</v>
      </c>
      <c r="H39" s="86">
        <v>59.55</v>
      </c>
      <c r="I39" s="75"/>
      <c r="J39" s="75" t="s">
        <v>56</v>
      </c>
      <c r="K39" s="87">
        <v>45747</v>
      </c>
      <c r="L39" s="75" t="s">
        <v>1500</v>
      </c>
      <c r="M39" s="75" t="s">
        <v>100</v>
      </c>
      <c r="N39" s="88"/>
    </row>
    <row r="40" spans="1:14" s="89" customFormat="1" ht="15.65" hidden="1" customHeight="1" x14ac:dyDescent="0.35">
      <c r="A40" s="138" t="s">
        <v>1501</v>
      </c>
      <c r="B40" s="138"/>
      <c r="C40" s="75" t="s">
        <v>1502</v>
      </c>
      <c r="D40" s="372" t="s">
        <v>18</v>
      </c>
      <c r="E40" s="480" t="s">
        <v>1649</v>
      </c>
      <c r="F40" s="75"/>
      <c r="G40" s="86">
        <v>55</v>
      </c>
      <c r="H40" s="86">
        <v>61</v>
      </c>
      <c r="I40" s="75"/>
      <c r="J40" s="75" t="s">
        <v>56</v>
      </c>
      <c r="K40" s="87">
        <v>45747</v>
      </c>
      <c r="L40" s="75" t="s">
        <v>1500</v>
      </c>
      <c r="M40" s="75" t="s">
        <v>100</v>
      </c>
      <c r="N40" s="130"/>
    </row>
    <row r="41" spans="1:14" s="89" customFormat="1" ht="15.65" hidden="1" customHeight="1" x14ac:dyDescent="0.35">
      <c r="A41" s="138" t="s">
        <v>1503</v>
      </c>
      <c r="B41" s="138"/>
      <c r="C41" s="75" t="s">
        <v>1504</v>
      </c>
      <c r="D41" s="372" t="s">
        <v>18</v>
      </c>
      <c r="E41" s="480" t="s">
        <v>1649</v>
      </c>
      <c r="F41" s="75"/>
      <c r="G41" s="86">
        <v>43.05</v>
      </c>
      <c r="H41" s="86">
        <v>49.05</v>
      </c>
      <c r="I41" s="75"/>
      <c r="J41" s="75" t="s">
        <v>56</v>
      </c>
      <c r="K41" s="348" t="s">
        <v>1505</v>
      </c>
      <c r="L41" s="75" t="s">
        <v>59</v>
      </c>
      <c r="M41" s="75" t="s">
        <v>100</v>
      </c>
      <c r="N41" s="130" t="s">
        <v>1506</v>
      </c>
    </row>
    <row r="42" spans="1:14" s="89" customFormat="1" ht="12" hidden="1" customHeight="1" x14ac:dyDescent="0.35">
      <c r="A42" s="138" t="s">
        <v>1650</v>
      </c>
      <c r="B42" s="138"/>
      <c r="C42" s="75" t="s">
        <v>1651</v>
      </c>
      <c r="D42" s="372" t="s">
        <v>18</v>
      </c>
      <c r="E42" s="480" t="s">
        <v>1649</v>
      </c>
      <c r="F42" s="75"/>
      <c r="G42" s="86">
        <v>49.05</v>
      </c>
      <c r="H42" s="86">
        <v>55.05</v>
      </c>
      <c r="I42" s="75"/>
      <c r="J42" s="75" t="s">
        <v>56</v>
      </c>
      <c r="K42" s="87">
        <v>46022</v>
      </c>
      <c r="L42" s="75" t="s">
        <v>1652</v>
      </c>
      <c r="M42" s="75" t="s">
        <v>100</v>
      </c>
      <c r="N42" s="88"/>
    </row>
    <row r="43" spans="1:14" s="89" customFormat="1" ht="15.65" hidden="1" customHeight="1" x14ac:dyDescent="0.35">
      <c r="A43" s="138" t="s">
        <v>394</v>
      </c>
      <c r="B43" s="138"/>
      <c r="C43" s="75" t="s">
        <v>1653</v>
      </c>
      <c r="D43" s="372" t="s">
        <v>18</v>
      </c>
      <c r="E43" s="480" t="s">
        <v>1649</v>
      </c>
      <c r="F43" s="75"/>
      <c r="G43" s="98">
        <v>184.2</v>
      </c>
      <c r="H43" s="86">
        <v>190.2</v>
      </c>
      <c r="I43" s="75"/>
      <c r="J43" s="75" t="s">
        <v>56</v>
      </c>
      <c r="K43" s="87">
        <v>46022</v>
      </c>
      <c r="L43" s="75" t="s">
        <v>1652</v>
      </c>
      <c r="M43" s="75" t="s">
        <v>100</v>
      </c>
      <c r="N43" s="88"/>
    </row>
    <row r="44" spans="1:14" s="89" customFormat="1" ht="15.65" hidden="1" customHeight="1" x14ac:dyDescent="0.35">
      <c r="A44" s="138" t="s">
        <v>1654</v>
      </c>
      <c r="B44" s="138"/>
      <c r="C44" s="75" t="s">
        <v>1655</v>
      </c>
      <c r="D44" s="372" t="s">
        <v>18</v>
      </c>
      <c r="E44" s="480" t="s">
        <v>1649</v>
      </c>
      <c r="F44" s="75"/>
      <c r="G44" s="86">
        <v>68.95</v>
      </c>
      <c r="H44" s="86">
        <v>74.95</v>
      </c>
      <c r="I44" s="75"/>
      <c r="J44" s="75" t="s">
        <v>56</v>
      </c>
      <c r="K44" s="87">
        <v>46022</v>
      </c>
      <c r="L44" s="75"/>
      <c r="M44" s="75" t="s">
        <v>100</v>
      </c>
      <c r="N44" s="88" t="s">
        <v>1658</v>
      </c>
    </row>
    <row r="45" spans="1:14" s="89" customFormat="1" ht="15.65" hidden="1" customHeight="1" x14ac:dyDescent="0.35">
      <c r="A45" s="79" t="s">
        <v>1656</v>
      </c>
      <c r="B45" s="79"/>
      <c r="C45" s="79" t="s">
        <v>1657</v>
      </c>
      <c r="D45" s="372" t="s">
        <v>18</v>
      </c>
      <c r="E45" s="480" t="s">
        <v>1649</v>
      </c>
      <c r="F45" s="128" t="s">
        <v>1507</v>
      </c>
      <c r="G45" s="120">
        <v>56</v>
      </c>
      <c r="H45" s="373">
        <v>62</v>
      </c>
      <c r="I45" s="128"/>
      <c r="J45" s="75" t="s">
        <v>56</v>
      </c>
      <c r="K45" s="87">
        <v>46022</v>
      </c>
      <c r="L45" s="75"/>
      <c r="M45" s="75" t="s">
        <v>100</v>
      </c>
      <c r="N45" s="88" t="s">
        <v>1658</v>
      </c>
    </row>
    <row r="46" spans="1:14" s="89" customFormat="1" ht="15.65" hidden="1" customHeight="1" x14ac:dyDescent="0.35">
      <c r="A46" s="409">
        <v>48.48</v>
      </c>
      <c r="B46" s="409"/>
      <c r="C46" s="104" t="s">
        <v>1648</v>
      </c>
      <c r="D46" s="372" t="s">
        <v>18</v>
      </c>
      <c r="E46" s="480" t="s">
        <v>1649</v>
      </c>
      <c r="F46" s="501">
        <v>45657</v>
      </c>
      <c r="G46" s="120">
        <v>32</v>
      </c>
      <c r="H46" s="120">
        <v>38</v>
      </c>
      <c r="I46" s="129"/>
      <c r="J46" s="75" t="s">
        <v>56</v>
      </c>
      <c r="K46" s="87">
        <v>46022</v>
      </c>
      <c r="L46" s="75" t="s">
        <v>1315</v>
      </c>
      <c r="M46" s="75" t="s">
        <v>100</v>
      </c>
      <c r="N46" s="88" t="s">
        <v>1658</v>
      </c>
    </row>
    <row r="47" spans="1:14" s="89" customFormat="1" ht="15.65" hidden="1" customHeight="1" x14ac:dyDescent="0.35">
      <c r="A47" s="138" t="s">
        <v>1297</v>
      </c>
      <c r="B47" s="138"/>
      <c r="C47" s="75" t="s">
        <v>925</v>
      </c>
      <c r="D47" s="372" t="s">
        <v>18</v>
      </c>
      <c r="E47" s="480" t="s">
        <v>1649</v>
      </c>
      <c r="F47" s="75"/>
      <c r="G47" s="86">
        <v>54.05</v>
      </c>
      <c r="H47" s="86">
        <v>60.05</v>
      </c>
      <c r="I47" s="75"/>
      <c r="J47" s="75" t="s">
        <v>56</v>
      </c>
      <c r="K47" s="87">
        <v>46022</v>
      </c>
      <c r="L47" s="75"/>
      <c r="M47" s="75" t="s">
        <v>100</v>
      </c>
      <c r="N47" s="88" t="s">
        <v>1658</v>
      </c>
    </row>
    <row r="48" spans="1:14" s="89" customFormat="1" ht="15.65" hidden="1" customHeight="1" x14ac:dyDescent="0.35">
      <c r="A48" s="138" t="s">
        <v>1659</v>
      </c>
      <c r="B48" s="138"/>
      <c r="C48" s="75" t="s">
        <v>1660</v>
      </c>
      <c r="D48" s="372" t="s">
        <v>18</v>
      </c>
      <c r="E48" s="480" t="s">
        <v>1649</v>
      </c>
      <c r="F48" s="75"/>
      <c r="G48" s="86">
        <v>89.05</v>
      </c>
      <c r="H48" s="86">
        <v>95.05</v>
      </c>
      <c r="I48" s="75"/>
      <c r="J48" s="75" t="s">
        <v>56</v>
      </c>
      <c r="K48" s="87">
        <v>46022</v>
      </c>
      <c r="L48" s="75"/>
      <c r="M48" s="75" t="s">
        <v>100</v>
      </c>
      <c r="N48" s="88" t="s">
        <v>1658</v>
      </c>
    </row>
    <row r="49" spans="1:14" s="89" customFormat="1" ht="15.65" hidden="1" customHeight="1" x14ac:dyDescent="0.35">
      <c r="A49" s="138" t="s">
        <v>1661</v>
      </c>
      <c r="B49" s="138"/>
      <c r="C49" s="75" t="s">
        <v>1662</v>
      </c>
      <c r="D49" s="372" t="s">
        <v>18</v>
      </c>
      <c r="E49" s="480" t="s">
        <v>1649</v>
      </c>
      <c r="F49" s="75"/>
      <c r="G49" s="86">
        <v>33.049999999999997</v>
      </c>
      <c r="H49" s="86">
        <v>39.049999999999997</v>
      </c>
      <c r="I49" s="75"/>
      <c r="J49" s="75" t="s">
        <v>56</v>
      </c>
      <c r="K49" s="87">
        <v>46022</v>
      </c>
      <c r="L49" s="75"/>
      <c r="M49" s="75" t="s">
        <v>100</v>
      </c>
      <c r="N49" s="88" t="s">
        <v>1658</v>
      </c>
    </row>
    <row r="50" spans="1:14" s="89" customFormat="1" ht="15.65" hidden="1" customHeight="1" x14ac:dyDescent="0.25">
      <c r="A50" s="410" t="s">
        <v>150</v>
      </c>
      <c r="B50" s="406" t="s">
        <v>1748</v>
      </c>
      <c r="C50" s="374" t="s">
        <v>1663</v>
      </c>
      <c r="D50" s="372" t="s">
        <v>1714</v>
      </c>
      <c r="E50" s="480" t="s">
        <v>1649</v>
      </c>
      <c r="F50" s="75"/>
      <c r="G50" s="605">
        <v>33.549999999999997</v>
      </c>
      <c r="H50" s="605">
        <v>39.549999999999997</v>
      </c>
      <c r="I50" s="75"/>
      <c r="J50" s="75" t="s">
        <v>56</v>
      </c>
      <c r="K50" s="87">
        <v>46022</v>
      </c>
      <c r="L50" s="75" t="s">
        <v>1715</v>
      </c>
      <c r="M50" s="75" t="s">
        <v>100</v>
      </c>
      <c r="N50" s="88" t="s">
        <v>1716</v>
      </c>
    </row>
    <row r="51" spans="1:14" s="89" customFormat="1" ht="15.65" hidden="1" customHeight="1" x14ac:dyDescent="0.25">
      <c r="A51" s="411" t="s">
        <v>121</v>
      </c>
      <c r="B51" s="406" t="s">
        <v>1756</v>
      </c>
      <c r="C51" s="375" t="s">
        <v>935</v>
      </c>
      <c r="D51" s="372" t="s">
        <v>1714</v>
      </c>
      <c r="E51" s="480" t="s">
        <v>1649</v>
      </c>
      <c r="F51" s="75"/>
      <c r="G51" s="606">
        <v>18.3</v>
      </c>
      <c r="H51" s="605">
        <v>24.3</v>
      </c>
      <c r="I51" s="75"/>
      <c r="J51" s="75" t="s">
        <v>56</v>
      </c>
      <c r="K51" s="87">
        <v>46022</v>
      </c>
      <c r="L51" s="75" t="s">
        <v>1715</v>
      </c>
      <c r="M51" s="75" t="s">
        <v>100</v>
      </c>
      <c r="N51" s="88" t="s">
        <v>1716</v>
      </c>
    </row>
    <row r="52" spans="1:14" s="89" customFormat="1" ht="15.65" hidden="1" customHeight="1" x14ac:dyDescent="0.25">
      <c r="A52" s="411" t="s">
        <v>127</v>
      </c>
      <c r="B52" s="411"/>
      <c r="C52" s="375" t="s">
        <v>440</v>
      </c>
      <c r="D52" s="372" t="s">
        <v>1714</v>
      </c>
      <c r="E52" s="480" t="s">
        <v>1649</v>
      </c>
      <c r="F52" s="75"/>
      <c r="G52" s="605">
        <v>34.799999999999997</v>
      </c>
      <c r="H52" s="605">
        <v>40.799999999999997</v>
      </c>
      <c r="I52" s="75"/>
      <c r="J52" s="75" t="s">
        <v>56</v>
      </c>
      <c r="K52" s="87">
        <v>46022</v>
      </c>
      <c r="L52" s="75" t="s">
        <v>1715</v>
      </c>
      <c r="M52" s="75" t="s">
        <v>100</v>
      </c>
      <c r="N52" s="88" t="s">
        <v>1716</v>
      </c>
    </row>
    <row r="53" spans="1:14" s="89" customFormat="1" ht="15.65" hidden="1" customHeight="1" x14ac:dyDescent="0.25">
      <c r="A53" s="411" t="s">
        <v>131</v>
      </c>
      <c r="B53" s="411" t="s">
        <v>1758</v>
      </c>
      <c r="C53" s="375" t="s">
        <v>935</v>
      </c>
      <c r="D53" s="372" t="s">
        <v>1714</v>
      </c>
      <c r="E53" s="481" t="s">
        <v>1649</v>
      </c>
      <c r="F53" s="75"/>
      <c r="G53" s="605">
        <v>21.74</v>
      </c>
      <c r="H53" s="605">
        <v>27.74</v>
      </c>
      <c r="I53" s="383"/>
      <c r="J53" s="75" t="s">
        <v>56</v>
      </c>
      <c r="K53" s="87" t="s">
        <v>1718</v>
      </c>
      <c r="L53" s="75" t="s">
        <v>1715</v>
      </c>
      <c r="M53" s="75" t="s">
        <v>100</v>
      </c>
      <c r="N53" s="88" t="s">
        <v>1716</v>
      </c>
    </row>
    <row r="54" spans="1:14" s="89" customFormat="1" ht="15.65" hidden="1" customHeight="1" x14ac:dyDescent="0.25">
      <c r="A54" s="411" t="s">
        <v>131</v>
      </c>
      <c r="B54" s="411" t="s">
        <v>1758</v>
      </c>
      <c r="C54" s="375" t="s">
        <v>935</v>
      </c>
      <c r="D54" s="372" t="s">
        <v>1781</v>
      </c>
      <c r="E54" s="481" t="s">
        <v>1649</v>
      </c>
      <c r="F54" s="75"/>
      <c r="G54" s="605">
        <v>20.65</v>
      </c>
      <c r="H54" s="605">
        <v>26.65</v>
      </c>
      <c r="I54" s="383"/>
      <c r="J54" s="75" t="s">
        <v>56</v>
      </c>
      <c r="K54" s="437" t="s">
        <v>1782</v>
      </c>
      <c r="L54" s="75" t="s">
        <v>1783</v>
      </c>
      <c r="M54" s="75" t="s">
        <v>100</v>
      </c>
      <c r="N54" s="88" t="s">
        <v>1784</v>
      </c>
    </row>
    <row r="55" spans="1:14" s="89" customFormat="1" ht="15.65" hidden="1" customHeight="1" x14ac:dyDescent="0.25">
      <c r="A55" s="411" t="s">
        <v>134</v>
      </c>
      <c r="B55" s="406" t="s">
        <v>1757</v>
      </c>
      <c r="C55" s="375" t="s">
        <v>425</v>
      </c>
      <c r="D55" s="372" t="s">
        <v>1714</v>
      </c>
      <c r="E55" s="481" t="s">
        <v>1649</v>
      </c>
      <c r="F55" s="75"/>
      <c r="G55" s="605">
        <v>33</v>
      </c>
      <c r="H55" s="605">
        <v>39</v>
      </c>
      <c r="I55" s="131"/>
      <c r="J55" s="75" t="s">
        <v>56</v>
      </c>
      <c r="K55" s="87">
        <v>46022</v>
      </c>
      <c r="L55" s="75" t="s">
        <v>1715</v>
      </c>
      <c r="M55" s="75" t="s">
        <v>100</v>
      </c>
      <c r="N55" s="88" t="s">
        <v>1716</v>
      </c>
    </row>
    <row r="56" spans="1:14" s="89" customFormat="1" ht="15.65" hidden="1" customHeight="1" x14ac:dyDescent="0.25">
      <c r="A56" s="411" t="s">
        <v>138</v>
      </c>
      <c r="B56" s="406" t="s">
        <v>1754</v>
      </c>
      <c r="C56" s="375" t="s">
        <v>892</v>
      </c>
      <c r="D56" s="372" t="s">
        <v>1714</v>
      </c>
      <c r="E56" s="481" t="s">
        <v>1649</v>
      </c>
      <c r="F56" s="75"/>
      <c r="G56" s="605">
        <v>62.8</v>
      </c>
      <c r="H56" s="605">
        <v>68.8</v>
      </c>
      <c r="I56" s="75"/>
      <c r="J56" s="75" t="s">
        <v>56</v>
      </c>
      <c r="K56" s="87">
        <v>46022</v>
      </c>
      <c r="L56" s="75" t="s">
        <v>1715</v>
      </c>
      <c r="M56" s="75" t="s">
        <v>100</v>
      </c>
      <c r="N56" s="88" t="s">
        <v>1716</v>
      </c>
    </row>
    <row r="57" spans="1:14" s="89" customFormat="1" ht="15.65" hidden="1" customHeight="1" x14ac:dyDescent="0.25">
      <c r="A57" s="411" t="s">
        <v>138</v>
      </c>
      <c r="B57" s="406" t="s">
        <v>1754</v>
      </c>
      <c r="C57" s="375" t="s">
        <v>892</v>
      </c>
      <c r="D57" s="372" t="s">
        <v>1714</v>
      </c>
      <c r="E57" s="481" t="s">
        <v>1649</v>
      </c>
      <c r="F57" s="75"/>
      <c r="G57" s="605">
        <v>59.5</v>
      </c>
      <c r="H57" s="605">
        <v>65.5</v>
      </c>
      <c r="I57" s="75"/>
      <c r="J57" s="75" t="s">
        <v>56</v>
      </c>
      <c r="K57" s="87">
        <v>46022</v>
      </c>
      <c r="L57" s="429" t="s">
        <v>1788</v>
      </c>
      <c r="M57" s="75" t="s">
        <v>20</v>
      </c>
      <c r="N57" s="88" t="s">
        <v>1787</v>
      </c>
    </row>
    <row r="58" spans="1:14" s="89" customFormat="1" ht="15.65" hidden="1" customHeight="1" x14ac:dyDescent="0.25">
      <c r="A58" s="411" t="s">
        <v>142</v>
      </c>
      <c r="B58" s="406" t="s">
        <v>1755</v>
      </c>
      <c r="C58" s="375" t="s">
        <v>448</v>
      </c>
      <c r="D58" s="372" t="s">
        <v>1714</v>
      </c>
      <c r="E58" s="481" t="s">
        <v>1649</v>
      </c>
      <c r="F58" s="75"/>
      <c r="G58" s="605">
        <v>25.9</v>
      </c>
      <c r="H58" s="605">
        <v>31.9</v>
      </c>
      <c r="I58" s="75"/>
      <c r="J58" s="75" t="s">
        <v>56</v>
      </c>
      <c r="K58" s="87" t="s">
        <v>1718</v>
      </c>
      <c r="L58" s="75" t="s">
        <v>1715</v>
      </c>
      <c r="M58" s="75" t="s">
        <v>100</v>
      </c>
      <c r="N58" s="88" t="s">
        <v>1716</v>
      </c>
    </row>
    <row r="59" spans="1:14" s="89" customFormat="1" ht="15.65" hidden="1" customHeight="1" x14ac:dyDescent="0.25">
      <c r="A59" s="411" t="s">
        <v>142</v>
      </c>
      <c r="B59" s="406" t="s">
        <v>1755</v>
      </c>
      <c r="C59" s="375" t="s">
        <v>448</v>
      </c>
      <c r="D59" s="372" t="s">
        <v>1781</v>
      </c>
      <c r="E59" s="481" t="s">
        <v>1649</v>
      </c>
      <c r="F59" s="75"/>
      <c r="G59" s="605">
        <v>25.1</v>
      </c>
      <c r="H59" s="605">
        <v>31.1</v>
      </c>
      <c r="I59" s="75"/>
      <c r="J59" s="75" t="s">
        <v>56</v>
      </c>
      <c r="K59" s="437" t="s">
        <v>1782</v>
      </c>
      <c r="L59" s="75" t="s">
        <v>1783</v>
      </c>
      <c r="M59" s="75" t="s">
        <v>100</v>
      </c>
      <c r="N59" s="88" t="s">
        <v>1784</v>
      </c>
    </row>
    <row r="60" spans="1:14" s="89" customFormat="1" ht="15.65" hidden="1" customHeight="1" x14ac:dyDescent="0.25">
      <c r="A60" s="411" t="s">
        <v>146</v>
      </c>
      <c r="B60" s="406" t="s">
        <v>1749</v>
      </c>
      <c r="C60" s="375" t="s">
        <v>942</v>
      </c>
      <c r="D60" s="372" t="s">
        <v>1714</v>
      </c>
      <c r="E60" s="481" t="s">
        <v>1649</v>
      </c>
      <c r="F60" s="75"/>
      <c r="G60" s="605">
        <v>52.4</v>
      </c>
      <c r="H60" s="605">
        <v>58.4</v>
      </c>
      <c r="I60" s="75"/>
      <c r="J60" s="75" t="s">
        <v>56</v>
      </c>
      <c r="K60" s="87">
        <v>46022</v>
      </c>
      <c r="L60" s="75" t="s">
        <v>1715</v>
      </c>
      <c r="M60" s="75" t="s">
        <v>100</v>
      </c>
      <c r="N60" s="88" t="s">
        <v>1716</v>
      </c>
    </row>
    <row r="61" spans="1:14" s="89" customFormat="1" ht="15.65" hidden="1" customHeight="1" x14ac:dyDescent="0.25">
      <c r="A61" s="411" t="s">
        <v>153</v>
      </c>
      <c r="B61" s="406" t="s">
        <v>1760</v>
      </c>
      <c r="C61" s="375" t="s">
        <v>943</v>
      </c>
      <c r="D61" s="372" t="s">
        <v>1714</v>
      </c>
      <c r="E61" s="481" t="s">
        <v>1649</v>
      </c>
      <c r="F61" s="75"/>
      <c r="G61" s="605">
        <v>36.9</v>
      </c>
      <c r="H61" s="605">
        <v>42.9</v>
      </c>
      <c r="I61" s="75"/>
      <c r="J61" s="75" t="s">
        <v>56</v>
      </c>
      <c r="K61" s="87">
        <v>46022</v>
      </c>
      <c r="L61" s="75" t="s">
        <v>1715</v>
      </c>
      <c r="M61" s="75" t="s">
        <v>100</v>
      </c>
      <c r="N61" s="88" t="s">
        <v>1716</v>
      </c>
    </row>
    <row r="62" spans="1:14" s="89" customFormat="1" ht="15.65" hidden="1" customHeight="1" x14ac:dyDescent="0.25">
      <c r="A62" s="411" t="s">
        <v>157</v>
      </c>
      <c r="B62" s="406" t="s">
        <v>1759</v>
      </c>
      <c r="C62" s="375" t="s">
        <v>462</v>
      </c>
      <c r="D62" s="372" t="s">
        <v>1781</v>
      </c>
      <c r="E62" s="481" t="s">
        <v>1649</v>
      </c>
      <c r="F62" s="75"/>
      <c r="G62" s="605">
        <v>47.65</v>
      </c>
      <c r="H62" s="605">
        <v>53.65</v>
      </c>
      <c r="I62" s="75"/>
      <c r="J62" s="75" t="s">
        <v>56</v>
      </c>
      <c r="K62" s="87">
        <v>46022</v>
      </c>
      <c r="L62" s="429" t="s">
        <v>1782</v>
      </c>
      <c r="M62" s="75" t="s">
        <v>100</v>
      </c>
      <c r="N62" s="88" t="s">
        <v>1784</v>
      </c>
    </row>
    <row r="63" spans="1:14" s="89" customFormat="1" ht="15.65" hidden="1" customHeight="1" x14ac:dyDescent="0.25">
      <c r="A63" s="411" t="s">
        <v>157</v>
      </c>
      <c r="B63" s="406" t="s">
        <v>1759</v>
      </c>
      <c r="C63" s="375" t="s">
        <v>462</v>
      </c>
      <c r="D63" s="372" t="s">
        <v>1714</v>
      </c>
      <c r="E63" s="481" t="s">
        <v>1649</v>
      </c>
      <c r="F63" s="75"/>
      <c r="G63" s="605">
        <v>50.16</v>
      </c>
      <c r="H63" s="605">
        <v>56.16</v>
      </c>
      <c r="I63" s="75"/>
      <c r="J63" s="75" t="s">
        <v>56</v>
      </c>
      <c r="K63" s="87">
        <v>46022</v>
      </c>
      <c r="L63" s="75" t="s">
        <v>1715</v>
      </c>
      <c r="M63" s="75" t="s">
        <v>100</v>
      </c>
      <c r="N63" s="88" t="s">
        <v>1716</v>
      </c>
    </row>
    <row r="64" spans="1:14" s="89" customFormat="1" ht="15.65" hidden="1" customHeight="1" x14ac:dyDescent="0.25">
      <c r="A64" s="410" t="s">
        <v>161</v>
      </c>
      <c r="B64" s="410"/>
      <c r="C64" s="374" t="s">
        <v>1664</v>
      </c>
      <c r="D64" s="372" t="s">
        <v>1714</v>
      </c>
      <c r="E64" s="481" t="s">
        <v>1649</v>
      </c>
      <c r="F64" s="75"/>
      <c r="G64" s="605">
        <v>77.7</v>
      </c>
      <c r="H64" s="605">
        <v>83.7</v>
      </c>
      <c r="I64" s="75"/>
      <c r="J64" s="75" t="s">
        <v>56</v>
      </c>
      <c r="K64" s="87">
        <v>46022</v>
      </c>
      <c r="L64" s="75" t="s">
        <v>1715</v>
      </c>
      <c r="M64" s="75" t="s">
        <v>100</v>
      </c>
      <c r="N64" s="88" t="s">
        <v>1716</v>
      </c>
    </row>
    <row r="65" spans="1:14" s="89" customFormat="1" ht="15.65" hidden="1" customHeight="1" x14ac:dyDescent="0.25">
      <c r="A65" s="412" t="s">
        <v>165</v>
      </c>
      <c r="B65" s="412"/>
      <c r="C65" s="375" t="s">
        <v>419</v>
      </c>
      <c r="D65" s="372" t="s">
        <v>1714</v>
      </c>
      <c r="E65" s="481" t="s">
        <v>1649</v>
      </c>
      <c r="F65" s="75"/>
      <c r="G65" s="606">
        <v>152.4</v>
      </c>
      <c r="H65" s="605">
        <v>158.4</v>
      </c>
      <c r="I65" s="75"/>
      <c r="J65" s="75" t="s">
        <v>56</v>
      </c>
      <c r="K65" s="87">
        <v>46022</v>
      </c>
      <c r="L65" s="75" t="s">
        <v>1715</v>
      </c>
      <c r="M65" s="75" t="s">
        <v>100</v>
      </c>
      <c r="N65" s="88" t="s">
        <v>1716</v>
      </c>
    </row>
    <row r="66" spans="1:14" s="89" customFormat="1" ht="15.65" hidden="1" customHeight="1" x14ac:dyDescent="0.25">
      <c r="A66" s="411" t="s">
        <v>168</v>
      </c>
      <c r="B66" s="411"/>
      <c r="C66" s="375" t="s">
        <v>952</v>
      </c>
      <c r="D66" s="372" t="s">
        <v>1714</v>
      </c>
      <c r="E66" s="481" t="s">
        <v>1649</v>
      </c>
      <c r="F66" s="75"/>
      <c r="G66" s="606">
        <v>77.3</v>
      </c>
      <c r="H66" s="605">
        <v>83.3</v>
      </c>
      <c r="I66" s="75"/>
      <c r="J66" s="75" t="s">
        <v>56</v>
      </c>
      <c r="K66" s="87">
        <v>46022</v>
      </c>
      <c r="L66" s="75" t="s">
        <v>1715</v>
      </c>
      <c r="M66" s="75" t="s">
        <v>100</v>
      </c>
      <c r="N66" s="88" t="s">
        <v>1716</v>
      </c>
    </row>
    <row r="67" spans="1:14" s="89" customFormat="1" ht="15.65" hidden="1" customHeight="1" x14ac:dyDescent="0.25">
      <c r="A67" s="411" t="s">
        <v>176</v>
      </c>
      <c r="B67" s="411"/>
      <c r="C67" s="376" t="s">
        <v>1665</v>
      </c>
      <c r="D67" s="372" t="s">
        <v>1714</v>
      </c>
      <c r="E67" s="481" t="s">
        <v>1649</v>
      </c>
      <c r="F67" s="75"/>
      <c r="G67" s="606">
        <v>62.31</v>
      </c>
      <c r="H67" s="605">
        <v>68.31</v>
      </c>
      <c r="I67" s="75"/>
      <c r="J67" s="75" t="s">
        <v>56</v>
      </c>
      <c r="K67" s="87">
        <v>46022</v>
      </c>
      <c r="L67" s="75" t="s">
        <v>1715</v>
      </c>
      <c r="M67" s="75" t="s">
        <v>100</v>
      </c>
      <c r="N67" s="88" t="s">
        <v>1716</v>
      </c>
    </row>
    <row r="68" spans="1:14" s="89" customFormat="1" ht="15.65" hidden="1" customHeight="1" x14ac:dyDescent="0.25">
      <c r="A68" s="412" t="s">
        <v>184</v>
      </c>
      <c r="B68" s="412"/>
      <c r="C68" s="375" t="s">
        <v>1666</v>
      </c>
      <c r="D68" s="372" t="s">
        <v>1714</v>
      </c>
      <c r="E68" s="481" t="s">
        <v>1649</v>
      </c>
      <c r="F68" s="75"/>
      <c r="G68" s="606">
        <v>54.51</v>
      </c>
      <c r="H68" s="605">
        <v>60.51</v>
      </c>
      <c r="I68" s="75"/>
      <c r="J68" s="75" t="s">
        <v>56</v>
      </c>
      <c r="K68" s="87">
        <v>46022</v>
      </c>
      <c r="L68" s="75" t="s">
        <v>1715</v>
      </c>
      <c r="M68" s="75" t="s">
        <v>100</v>
      </c>
      <c r="N68" s="88" t="s">
        <v>1716</v>
      </c>
    </row>
    <row r="69" spans="1:14" s="89" customFormat="1" ht="15.65" hidden="1" customHeight="1" x14ac:dyDescent="0.25">
      <c r="A69" s="412" t="s">
        <v>188</v>
      </c>
      <c r="B69" s="412"/>
      <c r="C69" s="375" t="s">
        <v>1667</v>
      </c>
      <c r="D69" s="372" t="s">
        <v>1714</v>
      </c>
      <c r="E69" s="481" t="s">
        <v>1649</v>
      </c>
      <c r="F69" s="75"/>
      <c r="G69" s="606">
        <v>101.45</v>
      </c>
      <c r="H69" s="605">
        <v>107.45</v>
      </c>
      <c r="I69" s="75"/>
      <c r="J69" s="75" t="s">
        <v>56</v>
      </c>
      <c r="K69" s="87">
        <v>46022</v>
      </c>
      <c r="L69" s="75" t="s">
        <v>1715</v>
      </c>
      <c r="M69" s="75" t="s">
        <v>100</v>
      </c>
      <c r="N69" s="88" t="s">
        <v>1716</v>
      </c>
    </row>
    <row r="70" spans="1:14" s="89" customFormat="1" ht="15.65" hidden="1" customHeight="1" x14ac:dyDescent="0.25">
      <c r="A70" s="411" t="s">
        <v>192</v>
      </c>
      <c r="B70" s="411"/>
      <c r="C70" s="376" t="s">
        <v>1668</v>
      </c>
      <c r="D70" s="372" t="s">
        <v>1714</v>
      </c>
      <c r="E70" s="481" t="s">
        <v>1649</v>
      </c>
      <c r="F70" s="75"/>
      <c r="G70" s="605">
        <v>54.65</v>
      </c>
      <c r="H70" s="605">
        <v>60.65</v>
      </c>
      <c r="I70" s="75"/>
      <c r="J70" s="75" t="s">
        <v>56</v>
      </c>
      <c r="K70" s="87">
        <v>46022</v>
      </c>
      <c r="L70" s="75" t="s">
        <v>1715</v>
      </c>
      <c r="M70" s="75" t="s">
        <v>100</v>
      </c>
      <c r="N70" s="88" t="s">
        <v>1716</v>
      </c>
    </row>
    <row r="71" spans="1:14" s="89" customFormat="1" ht="15.65" hidden="1" customHeight="1" x14ac:dyDescent="0.25">
      <c r="A71" s="411" t="s">
        <v>196</v>
      </c>
      <c r="B71" s="411"/>
      <c r="C71" s="376" t="s">
        <v>1669</v>
      </c>
      <c r="D71" s="372" t="s">
        <v>1714</v>
      </c>
      <c r="E71" s="481" t="s">
        <v>1649</v>
      </c>
      <c r="F71" s="75"/>
      <c r="G71" s="605">
        <v>33.275000000000006</v>
      </c>
      <c r="H71" s="605">
        <v>39.28</v>
      </c>
      <c r="I71" s="75"/>
      <c r="J71" s="75" t="s">
        <v>56</v>
      </c>
      <c r="K71" s="87">
        <v>46022</v>
      </c>
      <c r="L71" s="75" t="s">
        <v>1715</v>
      </c>
      <c r="M71" s="75" t="s">
        <v>100</v>
      </c>
      <c r="N71" s="88" t="s">
        <v>1716</v>
      </c>
    </row>
    <row r="72" spans="1:14" s="89" customFormat="1" ht="15.65" hidden="1" customHeight="1" x14ac:dyDescent="0.25">
      <c r="A72" s="411" t="s">
        <v>200</v>
      </c>
      <c r="B72" s="406" t="s">
        <v>1761</v>
      </c>
      <c r="C72" s="375" t="s">
        <v>518</v>
      </c>
      <c r="D72" s="372" t="s">
        <v>1714</v>
      </c>
      <c r="E72" s="481" t="s">
        <v>1649</v>
      </c>
      <c r="F72" s="75"/>
      <c r="G72" s="605">
        <v>42</v>
      </c>
      <c r="H72" s="605">
        <v>48</v>
      </c>
      <c r="I72" s="75"/>
      <c r="J72" s="75" t="s">
        <v>56</v>
      </c>
      <c r="K72" s="87">
        <v>46022</v>
      </c>
      <c r="L72" s="75" t="s">
        <v>1715</v>
      </c>
      <c r="M72" s="75" t="s">
        <v>100</v>
      </c>
      <c r="N72" s="88" t="s">
        <v>1716</v>
      </c>
    </row>
    <row r="73" spans="1:14" s="89" customFormat="1" ht="15.65" hidden="1" customHeight="1" x14ac:dyDescent="0.25">
      <c r="A73" s="411" t="s">
        <v>520</v>
      </c>
      <c r="B73" s="411"/>
      <c r="C73" s="376" t="s">
        <v>1670</v>
      </c>
      <c r="D73" s="372" t="s">
        <v>1714</v>
      </c>
      <c r="E73" s="481" t="s">
        <v>1649</v>
      </c>
      <c r="F73" s="75"/>
      <c r="G73" s="605">
        <v>144.22999999999999</v>
      </c>
      <c r="H73" s="605">
        <v>150.22999999999999</v>
      </c>
      <c r="I73" s="75"/>
      <c r="J73" s="75" t="s">
        <v>56</v>
      </c>
      <c r="K73" s="87">
        <v>46022</v>
      </c>
      <c r="L73" s="75" t="s">
        <v>1715</v>
      </c>
      <c r="M73" s="75" t="s">
        <v>100</v>
      </c>
      <c r="N73" s="88" t="s">
        <v>1716</v>
      </c>
    </row>
    <row r="74" spans="1:14" s="89" customFormat="1" ht="15.65" hidden="1" customHeight="1" x14ac:dyDescent="0.25">
      <c r="A74" s="411" t="s">
        <v>522</v>
      </c>
      <c r="B74" s="411"/>
      <c r="C74" s="376" t="s">
        <v>1671</v>
      </c>
      <c r="D74" s="372" t="s">
        <v>1714</v>
      </c>
      <c r="E74" s="481" t="s">
        <v>1649</v>
      </c>
      <c r="F74" s="75"/>
      <c r="G74" s="605">
        <v>113.3</v>
      </c>
      <c r="H74" s="605">
        <v>119.3</v>
      </c>
      <c r="I74" s="75"/>
      <c r="J74" s="75" t="s">
        <v>56</v>
      </c>
      <c r="K74" s="87">
        <v>46022</v>
      </c>
      <c r="L74" s="75" t="s">
        <v>1715</v>
      </c>
      <c r="M74" s="75" t="s">
        <v>100</v>
      </c>
      <c r="N74" s="88" t="s">
        <v>1716</v>
      </c>
    </row>
    <row r="75" spans="1:14" s="89" customFormat="1" ht="15.65" hidden="1" customHeight="1" x14ac:dyDescent="0.25">
      <c r="A75" s="411" t="s">
        <v>525</v>
      </c>
      <c r="B75" s="411"/>
      <c r="C75" s="376" t="s">
        <v>1672</v>
      </c>
      <c r="D75" s="372" t="s">
        <v>1714</v>
      </c>
      <c r="E75" s="481" t="s">
        <v>1649</v>
      </c>
      <c r="F75" s="75"/>
      <c r="G75" s="605">
        <v>166.35</v>
      </c>
      <c r="H75" s="605">
        <v>172.35</v>
      </c>
      <c r="I75" s="75"/>
      <c r="J75" s="75" t="s">
        <v>56</v>
      </c>
      <c r="K75" s="87">
        <v>46022</v>
      </c>
      <c r="L75" s="75" t="s">
        <v>1715</v>
      </c>
      <c r="M75" s="75" t="s">
        <v>100</v>
      </c>
      <c r="N75" s="88" t="s">
        <v>1716</v>
      </c>
    </row>
    <row r="76" spans="1:14" s="89" customFormat="1" ht="15.65" hidden="1" customHeight="1" x14ac:dyDescent="0.25">
      <c r="A76" s="413">
        <v>14.03</v>
      </c>
      <c r="B76" s="413"/>
      <c r="C76" s="375" t="s">
        <v>966</v>
      </c>
      <c r="D76" s="372" t="s">
        <v>1714</v>
      </c>
      <c r="E76" s="481" t="s">
        <v>1649</v>
      </c>
      <c r="F76" s="75"/>
      <c r="G76" s="605">
        <v>100</v>
      </c>
      <c r="H76" s="605">
        <v>106</v>
      </c>
      <c r="I76" s="75"/>
      <c r="J76" s="75" t="s">
        <v>56</v>
      </c>
      <c r="K76" s="87">
        <v>46022</v>
      </c>
      <c r="L76" s="75" t="s">
        <v>1715</v>
      </c>
      <c r="M76" s="75" t="s">
        <v>100</v>
      </c>
      <c r="N76" s="88" t="s">
        <v>1716</v>
      </c>
    </row>
    <row r="77" spans="1:14" s="89" customFormat="1" ht="15.65" hidden="1" customHeight="1" x14ac:dyDescent="0.25">
      <c r="A77" s="411" t="s">
        <v>529</v>
      </c>
      <c r="B77" s="411"/>
      <c r="C77" s="376" t="s">
        <v>1673</v>
      </c>
      <c r="D77" s="372" t="s">
        <v>1714</v>
      </c>
      <c r="E77" s="481" t="s">
        <v>1649</v>
      </c>
      <c r="F77" s="75"/>
      <c r="G77" s="606">
        <v>112.8</v>
      </c>
      <c r="H77" s="605">
        <v>118.8</v>
      </c>
      <c r="I77" s="75"/>
      <c r="J77" s="75" t="s">
        <v>56</v>
      </c>
      <c r="K77" s="87">
        <v>46022</v>
      </c>
      <c r="L77" s="75" t="s">
        <v>1715</v>
      </c>
      <c r="M77" s="75" t="s">
        <v>100</v>
      </c>
      <c r="N77" s="88" t="s">
        <v>1716</v>
      </c>
    </row>
    <row r="78" spans="1:14" s="89" customFormat="1" ht="15.65" hidden="1" customHeight="1" x14ac:dyDescent="0.25">
      <c r="A78" s="411">
        <v>19.010000000000002</v>
      </c>
      <c r="B78" s="411"/>
      <c r="C78" s="375" t="s">
        <v>904</v>
      </c>
      <c r="D78" s="372" t="s">
        <v>1714</v>
      </c>
      <c r="E78" s="481" t="s">
        <v>1649</v>
      </c>
      <c r="F78" s="75"/>
      <c r="G78" s="605">
        <v>75.8</v>
      </c>
      <c r="H78" s="605">
        <v>69.8</v>
      </c>
      <c r="I78" s="75"/>
      <c r="J78" s="75" t="s">
        <v>56</v>
      </c>
      <c r="K78" s="87">
        <v>46022</v>
      </c>
      <c r="L78" s="75" t="s">
        <v>1715</v>
      </c>
      <c r="M78" s="75" t="s">
        <v>100</v>
      </c>
      <c r="N78" s="88" t="s">
        <v>1716</v>
      </c>
    </row>
    <row r="79" spans="1:14" s="89" customFormat="1" ht="15.65" hidden="1" customHeight="1" x14ac:dyDescent="0.25">
      <c r="A79" s="413" t="s">
        <v>222</v>
      </c>
      <c r="B79" s="413"/>
      <c r="C79" s="374" t="s">
        <v>1674</v>
      </c>
      <c r="D79" s="372" t="s">
        <v>1714</v>
      </c>
      <c r="E79" s="481" t="s">
        <v>1649</v>
      </c>
      <c r="F79" s="75"/>
      <c r="G79" s="606">
        <v>45</v>
      </c>
      <c r="H79" s="605">
        <v>51</v>
      </c>
      <c r="I79" s="75"/>
      <c r="J79" s="75" t="s">
        <v>56</v>
      </c>
      <c r="K79" s="87">
        <v>46022</v>
      </c>
      <c r="L79" s="75" t="s">
        <v>1715</v>
      </c>
      <c r="M79" s="75" t="s">
        <v>100</v>
      </c>
      <c r="N79" s="88" t="s">
        <v>1716</v>
      </c>
    </row>
    <row r="80" spans="1:14" s="89" customFormat="1" ht="15.65" hidden="1" customHeight="1" x14ac:dyDescent="0.25">
      <c r="A80" s="411" t="s">
        <v>539</v>
      </c>
      <c r="B80" s="411"/>
      <c r="C80" s="376" t="s">
        <v>1675</v>
      </c>
      <c r="D80" s="372" t="s">
        <v>1714</v>
      </c>
      <c r="E80" s="481" t="s">
        <v>1649</v>
      </c>
      <c r="F80" s="75"/>
      <c r="G80" s="606">
        <v>72</v>
      </c>
      <c r="H80" s="605">
        <v>78</v>
      </c>
      <c r="I80" s="75"/>
      <c r="J80" s="75" t="s">
        <v>56</v>
      </c>
      <c r="K80" s="87">
        <v>46022</v>
      </c>
      <c r="L80" s="75" t="s">
        <v>1715</v>
      </c>
      <c r="M80" s="75" t="s">
        <v>100</v>
      </c>
      <c r="N80" s="88" t="s">
        <v>1716</v>
      </c>
    </row>
    <row r="81" spans="1:14" s="89" customFormat="1" ht="15.65" hidden="1" customHeight="1" x14ac:dyDescent="0.25">
      <c r="A81" s="411">
        <v>22.037474</v>
      </c>
      <c r="B81" s="411"/>
      <c r="C81" s="375" t="s">
        <v>83</v>
      </c>
      <c r="D81" s="372" t="s">
        <v>1714</v>
      </c>
      <c r="E81" s="481" t="s">
        <v>1649</v>
      </c>
      <c r="F81" s="75"/>
      <c r="G81" s="606">
        <v>42</v>
      </c>
      <c r="H81" s="605">
        <v>48</v>
      </c>
      <c r="I81" s="75"/>
      <c r="J81" s="75" t="s">
        <v>56</v>
      </c>
      <c r="K81" s="87">
        <v>46022</v>
      </c>
      <c r="L81" s="75" t="s">
        <v>1715</v>
      </c>
      <c r="M81" s="75" t="s">
        <v>100</v>
      </c>
      <c r="N81" s="88" t="s">
        <v>1716</v>
      </c>
    </row>
    <row r="82" spans="1:14" s="89" customFormat="1" ht="15.65" hidden="1" customHeight="1" x14ac:dyDescent="0.25">
      <c r="A82" s="411" t="s">
        <v>980</v>
      </c>
      <c r="B82" s="411"/>
      <c r="C82" s="375" t="s">
        <v>1676</v>
      </c>
      <c r="D82" s="372" t="s">
        <v>1714</v>
      </c>
      <c r="E82" s="481" t="s">
        <v>1649</v>
      </c>
      <c r="F82" s="75"/>
      <c r="G82" s="606">
        <v>55.45</v>
      </c>
      <c r="H82" s="605">
        <v>61.45</v>
      </c>
      <c r="I82" s="75"/>
      <c r="J82" s="75" t="s">
        <v>56</v>
      </c>
      <c r="K82" s="87">
        <v>46022</v>
      </c>
      <c r="L82" s="75" t="s">
        <v>1715</v>
      </c>
      <c r="M82" s="75" t="s">
        <v>100</v>
      </c>
      <c r="N82" s="88" t="s">
        <v>1716</v>
      </c>
    </row>
    <row r="83" spans="1:14" s="89" customFormat="1" ht="15.65" hidden="1" customHeight="1" x14ac:dyDescent="0.25">
      <c r="A83" s="411" t="s">
        <v>229</v>
      </c>
      <c r="B83" s="411"/>
      <c r="C83" s="375" t="s">
        <v>1677</v>
      </c>
      <c r="D83" s="372" t="s">
        <v>1714</v>
      </c>
      <c r="E83" s="481" t="s">
        <v>1649</v>
      </c>
      <c r="F83" s="75"/>
      <c r="G83" s="606">
        <v>61.15</v>
      </c>
      <c r="H83" s="605">
        <v>67.150000000000006</v>
      </c>
      <c r="I83" s="75"/>
      <c r="J83" s="75" t="s">
        <v>56</v>
      </c>
      <c r="K83" s="87">
        <v>46022</v>
      </c>
      <c r="L83" s="75" t="s">
        <v>1715</v>
      </c>
      <c r="M83" s="75" t="s">
        <v>100</v>
      </c>
      <c r="N83" s="88" t="s">
        <v>1716</v>
      </c>
    </row>
    <row r="84" spans="1:14" s="89" customFormat="1" ht="15.65" hidden="1" customHeight="1" x14ac:dyDescent="0.25">
      <c r="A84" s="411" t="s">
        <v>233</v>
      </c>
      <c r="B84" s="411"/>
      <c r="C84" s="375" t="s">
        <v>1678</v>
      </c>
      <c r="D84" s="372" t="s">
        <v>1714</v>
      </c>
      <c r="E84" s="481" t="s">
        <v>1649</v>
      </c>
      <c r="F84" s="75"/>
      <c r="G84" s="605">
        <v>33</v>
      </c>
      <c r="H84" s="605">
        <v>39</v>
      </c>
      <c r="I84" s="75"/>
      <c r="J84" s="75" t="s">
        <v>56</v>
      </c>
      <c r="K84" s="87">
        <v>46022</v>
      </c>
      <c r="L84" s="75" t="s">
        <v>1715</v>
      </c>
      <c r="M84" s="75" t="s">
        <v>100</v>
      </c>
      <c r="N84" s="88" t="s">
        <v>1716</v>
      </c>
    </row>
    <row r="85" spans="1:14" s="89" customFormat="1" ht="15.65" hidden="1" customHeight="1" x14ac:dyDescent="0.25">
      <c r="A85" s="411" t="s">
        <v>81</v>
      </c>
      <c r="B85" s="411"/>
      <c r="C85" s="375" t="s">
        <v>548</v>
      </c>
      <c r="D85" s="372" t="s">
        <v>1714</v>
      </c>
      <c r="E85" s="481" t="s">
        <v>1649</v>
      </c>
      <c r="F85" s="75"/>
      <c r="G85" s="605">
        <v>34.950000000000003</v>
      </c>
      <c r="H85" s="605">
        <v>40.950000000000003</v>
      </c>
      <c r="I85" s="75"/>
      <c r="J85" s="75" t="s">
        <v>56</v>
      </c>
      <c r="K85" s="87">
        <v>46022</v>
      </c>
      <c r="L85" s="75" t="s">
        <v>1715</v>
      </c>
      <c r="M85" s="75" t="s">
        <v>100</v>
      </c>
      <c r="N85" s="88" t="s">
        <v>1716</v>
      </c>
    </row>
    <row r="86" spans="1:14" s="89" customFormat="1" ht="15.65" hidden="1" customHeight="1" x14ac:dyDescent="0.25">
      <c r="A86" s="411" t="s">
        <v>235</v>
      </c>
      <c r="B86" s="411"/>
      <c r="C86" s="376" t="s">
        <v>1679</v>
      </c>
      <c r="D86" s="372" t="s">
        <v>1714</v>
      </c>
      <c r="E86" s="481" t="s">
        <v>1649</v>
      </c>
      <c r="F86" s="75"/>
      <c r="G86" s="606">
        <v>33</v>
      </c>
      <c r="H86" s="605">
        <v>39</v>
      </c>
      <c r="I86" s="75"/>
      <c r="J86" s="75" t="s">
        <v>56</v>
      </c>
      <c r="K86" s="87">
        <v>46022</v>
      </c>
      <c r="L86" s="75" t="s">
        <v>1715</v>
      </c>
      <c r="M86" s="75" t="s">
        <v>100</v>
      </c>
      <c r="N86" s="88" t="s">
        <v>1716</v>
      </c>
    </row>
    <row r="87" spans="1:14" s="89" customFormat="1" ht="15.65" hidden="1" customHeight="1" x14ac:dyDescent="0.25">
      <c r="A87" s="411" t="s">
        <v>550</v>
      </c>
      <c r="B87" s="411"/>
      <c r="C87" s="375" t="s">
        <v>976</v>
      </c>
      <c r="D87" s="372" t="s">
        <v>1714</v>
      </c>
      <c r="E87" s="481" t="s">
        <v>1649</v>
      </c>
      <c r="F87" s="75"/>
      <c r="G87" s="606">
        <v>37.92</v>
      </c>
      <c r="H87" s="605">
        <v>43.92</v>
      </c>
      <c r="I87" s="75"/>
      <c r="J87" s="75" t="s">
        <v>56</v>
      </c>
      <c r="K87" s="87">
        <v>46022</v>
      </c>
      <c r="L87" s="75" t="s">
        <v>1715</v>
      </c>
      <c r="M87" s="75" t="s">
        <v>100</v>
      </c>
      <c r="N87" s="88" t="s">
        <v>1716</v>
      </c>
    </row>
    <row r="88" spans="1:14" s="89" customFormat="1" ht="15.65" hidden="1" customHeight="1" x14ac:dyDescent="0.25">
      <c r="A88" s="411" t="s">
        <v>241</v>
      </c>
      <c r="B88" s="411"/>
      <c r="C88" s="376" t="s">
        <v>1680</v>
      </c>
      <c r="D88" s="372" t="s">
        <v>1714</v>
      </c>
      <c r="E88" s="481" t="s">
        <v>1649</v>
      </c>
      <c r="F88" s="75"/>
      <c r="G88" s="606">
        <v>60.7</v>
      </c>
      <c r="H88" s="605">
        <v>66.7</v>
      </c>
      <c r="I88" s="75"/>
      <c r="J88" s="75" t="s">
        <v>56</v>
      </c>
      <c r="K88" s="87">
        <v>46022</v>
      </c>
      <c r="L88" s="75" t="s">
        <v>1715</v>
      </c>
      <c r="M88" s="75" t="s">
        <v>100</v>
      </c>
      <c r="N88" s="88" t="s">
        <v>1716</v>
      </c>
    </row>
    <row r="89" spans="1:14" s="89" customFormat="1" ht="15.65" hidden="1" customHeight="1" x14ac:dyDescent="0.25">
      <c r="A89" s="413" t="s">
        <v>245</v>
      </c>
      <c r="B89" s="413"/>
      <c r="C89" s="375" t="s">
        <v>985</v>
      </c>
      <c r="D89" s="372" t="s">
        <v>1714</v>
      </c>
      <c r="E89" s="481" t="s">
        <v>1649</v>
      </c>
      <c r="F89" s="75"/>
      <c r="G89" s="605">
        <v>63.61</v>
      </c>
      <c r="H89" s="605">
        <v>69.61</v>
      </c>
      <c r="I89" s="75"/>
      <c r="J89" s="75" t="s">
        <v>56</v>
      </c>
      <c r="K89" s="87">
        <v>46022</v>
      </c>
      <c r="L89" s="75" t="s">
        <v>1715</v>
      </c>
      <c r="M89" s="75" t="s">
        <v>100</v>
      </c>
      <c r="N89" s="88" t="s">
        <v>1716</v>
      </c>
    </row>
    <row r="90" spans="1:14" s="89" customFormat="1" ht="15.65" hidden="1" customHeight="1" x14ac:dyDescent="0.25">
      <c r="A90" s="414" t="s">
        <v>84</v>
      </c>
      <c r="B90" s="414"/>
      <c r="C90" s="377" t="s">
        <v>1681</v>
      </c>
      <c r="D90" s="372" t="s">
        <v>1714</v>
      </c>
      <c r="E90" s="481" t="s">
        <v>1649</v>
      </c>
      <c r="F90" s="75"/>
      <c r="G90" s="607">
        <v>58.300000000000004</v>
      </c>
      <c r="H90" s="605">
        <v>64.3</v>
      </c>
      <c r="I90" s="75"/>
      <c r="J90" s="75" t="s">
        <v>56</v>
      </c>
      <c r="K90" s="87">
        <v>46022</v>
      </c>
      <c r="L90" s="75" t="s">
        <v>1715</v>
      </c>
      <c r="M90" s="75" t="s">
        <v>100</v>
      </c>
      <c r="N90" s="88" t="s">
        <v>1716</v>
      </c>
    </row>
    <row r="91" spans="1:14" s="89" customFormat="1" ht="15.65" hidden="1" customHeight="1" x14ac:dyDescent="0.25">
      <c r="A91" s="411" t="s">
        <v>249</v>
      </c>
      <c r="B91" s="411"/>
      <c r="C91" s="375" t="s">
        <v>1682</v>
      </c>
      <c r="D91" s="372" t="s">
        <v>1714</v>
      </c>
      <c r="E91" s="481" t="s">
        <v>1649</v>
      </c>
      <c r="F91" s="75"/>
      <c r="G91" s="606">
        <v>81.150000000000006</v>
      </c>
      <c r="H91" s="605">
        <v>87.15</v>
      </c>
      <c r="I91" s="75"/>
      <c r="J91" s="75" t="s">
        <v>56</v>
      </c>
      <c r="K91" s="87">
        <v>46022</v>
      </c>
      <c r="L91" s="75" t="s">
        <v>1715</v>
      </c>
      <c r="M91" s="75" t="s">
        <v>100</v>
      </c>
      <c r="N91" s="88" t="s">
        <v>1716</v>
      </c>
    </row>
    <row r="92" spans="1:14" s="89" customFormat="1" ht="15.65" hidden="1" customHeight="1" x14ac:dyDescent="0.25">
      <c r="A92" s="411" t="s">
        <v>253</v>
      </c>
      <c r="B92" s="411"/>
      <c r="C92" s="376" t="s">
        <v>1683</v>
      </c>
      <c r="D92" s="372" t="s">
        <v>1714</v>
      </c>
      <c r="E92" s="481" t="s">
        <v>1649</v>
      </c>
      <c r="F92" s="75"/>
      <c r="G92" s="606">
        <v>67.33</v>
      </c>
      <c r="H92" s="605">
        <v>73.33</v>
      </c>
      <c r="I92" s="75"/>
      <c r="J92" s="75" t="s">
        <v>56</v>
      </c>
      <c r="K92" s="87">
        <v>46022</v>
      </c>
      <c r="L92" s="75" t="s">
        <v>1715</v>
      </c>
      <c r="M92" s="75" t="s">
        <v>100</v>
      </c>
      <c r="N92" s="88" t="s">
        <v>1716</v>
      </c>
    </row>
    <row r="93" spans="1:14" s="89" customFormat="1" ht="15.65" hidden="1" customHeight="1" x14ac:dyDescent="0.25">
      <c r="A93" s="411" t="s">
        <v>591</v>
      </c>
      <c r="B93" s="411"/>
      <c r="C93" s="375" t="s">
        <v>592</v>
      </c>
      <c r="D93" s="372" t="s">
        <v>1714</v>
      </c>
      <c r="E93" s="481" t="s">
        <v>1649</v>
      </c>
      <c r="F93" s="75"/>
      <c r="G93" s="605">
        <v>89</v>
      </c>
      <c r="H93" s="605">
        <v>95</v>
      </c>
      <c r="I93" s="75"/>
      <c r="J93" s="75" t="s">
        <v>56</v>
      </c>
      <c r="K93" s="87">
        <v>46022</v>
      </c>
      <c r="L93" s="75" t="s">
        <v>1715</v>
      </c>
      <c r="M93" s="75" t="s">
        <v>100</v>
      </c>
      <c r="N93" s="88" t="s">
        <v>1716</v>
      </c>
    </row>
    <row r="94" spans="1:14" s="89" customFormat="1" ht="15.65" hidden="1" customHeight="1" x14ac:dyDescent="0.25">
      <c r="A94" s="411" t="s">
        <v>260</v>
      </c>
      <c r="B94" s="411"/>
      <c r="C94" s="376" t="s">
        <v>1684</v>
      </c>
      <c r="D94" s="372" t="s">
        <v>1714</v>
      </c>
      <c r="E94" s="481" t="s">
        <v>1649</v>
      </c>
      <c r="F94" s="75"/>
      <c r="G94" s="605">
        <v>42.85</v>
      </c>
      <c r="H94" s="605">
        <v>48.85</v>
      </c>
      <c r="I94" s="75"/>
      <c r="J94" s="75" t="s">
        <v>56</v>
      </c>
      <c r="K94" s="87">
        <v>46022</v>
      </c>
      <c r="L94" s="75" t="s">
        <v>1715</v>
      </c>
      <c r="M94" s="75" t="s">
        <v>100</v>
      </c>
      <c r="N94" s="88" t="s">
        <v>1716</v>
      </c>
    </row>
    <row r="95" spans="1:14" s="89" customFormat="1" ht="15.65" hidden="1" customHeight="1" x14ac:dyDescent="0.25">
      <c r="A95" s="411" t="s">
        <v>264</v>
      </c>
      <c r="B95" s="411"/>
      <c r="C95" s="376" t="s">
        <v>1685</v>
      </c>
      <c r="D95" s="372" t="s">
        <v>1714</v>
      </c>
      <c r="E95" s="481" t="s">
        <v>1649</v>
      </c>
      <c r="F95" s="75"/>
      <c r="G95" s="606">
        <v>65.8</v>
      </c>
      <c r="H95" s="605">
        <v>71.8</v>
      </c>
      <c r="I95" s="75"/>
      <c r="J95" s="75" t="s">
        <v>56</v>
      </c>
      <c r="K95" s="87">
        <v>46022</v>
      </c>
      <c r="L95" s="75" t="s">
        <v>1715</v>
      </c>
      <c r="M95" s="75" t="s">
        <v>100</v>
      </c>
      <c r="N95" s="88" t="s">
        <v>1716</v>
      </c>
    </row>
    <row r="96" spans="1:14" s="89" customFormat="1" ht="15.65" hidden="1" customHeight="1" x14ac:dyDescent="0.25">
      <c r="A96" s="448" t="s">
        <v>274</v>
      </c>
      <c r="B96" s="448"/>
      <c r="C96" s="465" t="s">
        <v>623</v>
      </c>
      <c r="D96" s="390" t="s">
        <v>1714</v>
      </c>
      <c r="E96" s="481" t="s">
        <v>1649</v>
      </c>
      <c r="F96" s="80"/>
      <c r="G96" s="608">
        <v>46.35</v>
      </c>
      <c r="H96" s="609">
        <v>52.35</v>
      </c>
      <c r="I96" s="80"/>
      <c r="J96" s="80" t="s">
        <v>56</v>
      </c>
      <c r="K96" s="551">
        <v>46022</v>
      </c>
      <c r="L96" s="80" t="s">
        <v>1715</v>
      </c>
      <c r="M96" s="80" t="s">
        <v>100</v>
      </c>
      <c r="N96" s="386" t="s">
        <v>1716</v>
      </c>
    </row>
    <row r="97" spans="1:46" s="89" customFormat="1" ht="15.65" hidden="1" customHeight="1" x14ac:dyDescent="0.25">
      <c r="A97" s="411" t="s">
        <v>276</v>
      </c>
      <c r="B97" s="411"/>
      <c r="C97" s="375" t="s">
        <v>626</v>
      </c>
      <c r="D97" s="372" t="s">
        <v>1714</v>
      </c>
      <c r="E97" s="481" t="s">
        <v>1649</v>
      </c>
      <c r="F97" s="75"/>
      <c r="G97" s="606">
        <v>42.1</v>
      </c>
      <c r="H97" s="605">
        <v>48.1</v>
      </c>
      <c r="I97" s="75"/>
      <c r="J97" s="75" t="s">
        <v>56</v>
      </c>
      <c r="K97" s="87">
        <v>46022</v>
      </c>
      <c r="L97" s="75" t="s">
        <v>1715</v>
      </c>
      <c r="M97" s="75" t="s">
        <v>100</v>
      </c>
      <c r="N97" s="88" t="s">
        <v>1716</v>
      </c>
    </row>
    <row r="98" spans="1:46" s="89" customFormat="1" ht="15.65" hidden="1" customHeight="1" x14ac:dyDescent="0.25">
      <c r="A98" s="411" t="s">
        <v>60</v>
      </c>
      <c r="B98" s="411"/>
      <c r="C98" s="375" t="s">
        <v>61</v>
      </c>
      <c r="D98" s="372" t="s">
        <v>1714</v>
      </c>
      <c r="E98" s="481" t="s">
        <v>1649</v>
      </c>
      <c r="F98" s="75"/>
      <c r="G98" s="605">
        <v>73</v>
      </c>
      <c r="H98" s="605">
        <v>79</v>
      </c>
      <c r="I98" s="75"/>
      <c r="J98" s="75" t="s">
        <v>56</v>
      </c>
      <c r="K98" s="87">
        <v>46022</v>
      </c>
      <c r="L98" s="75" t="s">
        <v>1715</v>
      </c>
      <c r="M98" s="75" t="s">
        <v>100</v>
      </c>
      <c r="N98" s="88" t="s">
        <v>1716</v>
      </c>
    </row>
    <row r="99" spans="1:46" s="89" customFormat="1" ht="15.65" hidden="1" customHeight="1" x14ac:dyDescent="0.25">
      <c r="A99" s="411">
        <v>22.507209</v>
      </c>
      <c r="B99" s="411"/>
      <c r="C99" s="375" t="s">
        <v>1686</v>
      </c>
      <c r="D99" s="372" t="s">
        <v>1714</v>
      </c>
      <c r="E99" s="481" t="s">
        <v>1649</v>
      </c>
      <c r="F99" s="75"/>
      <c r="G99" s="606">
        <v>35</v>
      </c>
      <c r="H99" s="605">
        <v>41</v>
      </c>
      <c r="I99" s="75"/>
      <c r="J99" s="75" t="s">
        <v>56</v>
      </c>
      <c r="K99" s="87">
        <v>46022</v>
      </c>
      <c r="L99" s="75" t="s">
        <v>1715</v>
      </c>
      <c r="M99" s="75" t="s">
        <v>100</v>
      </c>
      <c r="N99" s="88" t="s">
        <v>1716</v>
      </c>
    </row>
    <row r="100" spans="1:46" s="89" customFormat="1" ht="15.65" hidden="1" customHeight="1" x14ac:dyDescent="0.25">
      <c r="A100" s="415" t="s">
        <v>610</v>
      </c>
      <c r="B100" s="415"/>
      <c r="C100" s="384" t="s">
        <v>1687</v>
      </c>
      <c r="D100" s="372" t="s">
        <v>1714</v>
      </c>
      <c r="E100" s="481" t="s">
        <v>1649</v>
      </c>
      <c r="F100" s="75"/>
      <c r="G100" s="610">
        <v>42</v>
      </c>
      <c r="H100" s="610">
        <v>48</v>
      </c>
      <c r="I100" s="105"/>
      <c r="J100" s="105" t="s">
        <v>56</v>
      </c>
      <c r="K100" s="124">
        <v>46022</v>
      </c>
      <c r="L100" s="569" t="s">
        <v>1717</v>
      </c>
      <c r="M100" s="105" t="s">
        <v>100</v>
      </c>
      <c r="N100" s="70" t="s">
        <v>1716</v>
      </c>
    </row>
    <row r="101" spans="1:46" s="89" customFormat="1" ht="15.65" hidden="1" customHeight="1" x14ac:dyDescent="0.25">
      <c r="A101" s="411" t="s">
        <v>621</v>
      </c>
      <c r="B101" s="411"/>
      <c r="C101" s="375" t="s">
        <v>1688</v>
      </c>
      <c r="D101" s="372" t="s">
        <v>1714</v>
      </c>
      <c r="E101" s="481" t="s">
        <v>1649</v>
      </c>
      <c r="F101" s="75"/>
      <c r="G101" s="606">
        <v>41</v>
      </c>
      <c r="H101" s="605">
        <v>47</v>
      </c>
      <c r="I101" s="75"/>
      <c r="J101" s="75" t="s">
        <v>56</v>
      </c>
      <c r="K101" s="87">
        <v>46022</v>
      </c>
      <c r="L101" s="75" t="s">
        <v>1715</v>
      </c>
      <c r="M101" s="75" t="s">
        <v>100</v>
      </c>
      <c r="N101" s="88" t="s">
        <v>1716</v>
      </c>
    </row>
    <row r="102" spans="1:46" s="89" customFormat="1" ht="15.65" hidden="1" customHeight="1" x14ac:dyDescent="0.25">
      <c r="A102" s="411" t="s">
        <v>642</v>
      </c>
      <c r="B102" s="411"/>
      <c r="C102" s="376" t="s">
        <v>1689</v>
      </c>
      <c r="D102" s="372" t="s">
        <v>1714</v>
      </c>
      <c r="E102" s="481" t="s">
        <v>1649</v>
      </c>
      <c r="F102" s="75"/>
      <c r="G102" s="606">
        <v>213</v>
      </c>
      <c r="H102" s="605">
        <v>219</v>
      </c>
      <c r="I102" s="75"/>
      <c r="J102" s="75" t="s">
        <v>56</v>
      </c>
      <c r="K102" s="87">
        <v>46022</v>
      </c>
      <c r="L102" s="75" t="s">
        <v>1715</v>
      </c>
      <c r="M102" s="75" t="s">
        <v>100</v>
      </c>
      <c r="N102" s="88" t="s">
        <v>1716</v>
      </c>
    </row>
    <row r="103" spans="1:46" s="89" customFormat="1" ht="15.65" hidden="1" customHeight="1" x14ac:dyDescent="0.25">
      <c r="A103" s="411" t="s">
        <v>896</v>
      </c>
      <c r="B103" s="411"/>
      <c r="C103" s="375" t="s">
        <v>1690</v>
      </c>
      <c r="D103" s="372" t="s">
        <v>1714</v>
      </c>
      <c r="E103" s="481" t="s">
        <v>1649</v>
      </c>
      <c r="F103" s="75"/>
      <c r="G103" s="606">
        <v>131.44999999999999</v>
      </c>
      <c r="H103" s="605">
        <v>137.44999999999999</v>
      </c>
      <c r="I103" s="75"/>
      <c r="J103" s="75" t="s">
        <v>56</v>
      </c>
      <c r="K103" s="87">
        <v>46022</v>
      </c>
      <c r="L103" s="75" t="s">
        <v>1715</v>
      </c>
      <c r="M103" s="75" t="s">
        <v>100</v>
      </c>
      <c r="N103" s="88" t="s">
        <v>1716</v>
      </c>
    </row>
    <row r="104" spans="1:46" s="89" customFormat="1" ht="15.65" hidden="1" customHeight="1" x14ac:dyDescent="0.25">
      <c r="A104" s="411">
        <v>31.08</v>
      </c>
      <c r="B104" s="406" t="s">
        <v>1752</v>
      </c>
      <c r="C104" s="375" t="s">
        <v>665</v>
      </c>
      <c r="D104" s="372" t="s">
        <v>1714</v>
      </c>
      <c r="E104" s="481" t="s">
        <v>1649</v>
      </c>
      <c r="F104" s="75"/>
      <c r="G104" s="606">
        <v>32</v>
      </c>
      <c r="H104" s="605">
        <v>38</v>
      </c>
      <c r="I104" s="75"/>
      <c r="J104" s="75" t="s">
        <v>56</v>
      </c>
      <c r="K104" s="87">
        <v>46022</v>
      </c>
      <c r="L104" s="75" t="s">
        <v>1715</v>
      </c>
      <c r="M104" s="75" t="s">
        <v>100</v>
      </c>
      <c r="N104" s="88" t="s">
        <v>1716</v>
      </c>
    </row>
    <row r="105" spans="1:46" s="89" customFormat="1" ht="15.65" hidden="1" customHeight="1" x14ac:dyDescent="0.25">
      <c r="A105" s="411" t="s">
        <v>667</v>
      </c>
      <c r="B105" s="411"/>
      <c r="C105" s="375" t="s">
        <v>1691</v>
      </c>
      <c r="D105" s="372" t="s">
        <v>1714</v>
      </c>
      <c r="E105" s="481" t="s">
        <v>1649</v>
      </c>
      <c r="F105" s="75"/>
      <c r="G105" s="606">
        <v>38</v>
      </c>
      <c r="H105" s="605">
        <v>44</v>
      </c>
      <c r="I105" s="75"/>
      <c r="J105" s="75" t="s">
        <v>56</v>
      </c>
      <c r="K105" s="87">
        <v>46022</v>
      </c>
      <c r="L105" s="75" t="s">
        <v>1715</v>
      </c>
      <c r="M105" s="75" t="s">
        <v>100</v>
      </c>
      <c r="N105" s="88" t="s">
        <v>1716</v>
      </c>
    </row>
    <row r="106" spans="1:46" s="89" customFormat="1" ht="15.65" hidden="1" customHeight="1" x14ac:dyDescent="0.25">
      <c r="A106" s="411">
        <v>31.097550999999999</v>
      </c>
      <c r="B106" s="411"/>
      <c r="C106" s="375" t="s">
        <v>1010</v>
      </c>
      <c r="D106" s="372" t="s">
        <v>1714</v>
      </c>
      <c r="E106" s="481" t="s">
        <v>1649</v>
      </c>
      <c r="F106" s="75"/>
      <c r="G106" s="606">
        <v>34.200000000000003</v>
      </c>
      <c r="H106" s="605">
        <v>40.200000000000003</v>
      </c>
      <c r="I106" s="75"/>
      <c r="J106" s="75" t="s">
        <v>56</v>
      </c>
      <c r="K106" s="87">
        <v>46022</v>
      </c>
      <c r="L106" s="75" t="s">
        <v>1715</v>
      </c>
      <c r="M106" s="75" t="s">
        <v>100</v>
      </c>
      <c r="N106" s="88" t="s">
        <v>1716</v>
      </c>
    </row>
    <row r="107" spans="1:46" s="89" customFormat="1" ht="15.65" hidden="1" customHeight="1" x14ac:dyDescent="0.25">
      <c r="A107" s="411" t="s">
        <v>286</v>
      </c>
      <c r="B107" s="406" t="s">
        <v>1751</v>
      </c>
      <c r="C107" s="375" t="s">
        <v>666</v>
      </c>
      <c r="D107" s="372" t="s">
        <v>1781</v>
      </c>
      <c r="E107" s="481" t="s">
        <v>1649</v>
      </c>
      <c r="F107" s="75"/>
      <c r="G107" s="606">
        <v>38</v>
      </c>
      <c r="H107" s="605">
        <v>44</v>
      </c>
      <c r="I107" s="75"/>
      <c r="J107" s="75" t="s">
        <v>56</v>
      </c>
      <c r="K107" s="87">
        <v>46022</v>
      </c>
      <c r="L107" s="429" t="s">
        <v>1782</v>
      </c>
      <c r="M107" s="75" t="s">
        <v>20</v>
      </c>
      <c r="N107" s="88" t="s">
        <v>1784</v>
      </c>
    </row>
    <row r="108" spans="1:46" s="89" customFormat="1" ht="15.65" hidden="1" customHeight="1" x14ac:dyDescent="0.25">
      <c r="A108" s="411" t="s">
        <v>286</v>
      </c>
      <c r="B108" s="406" t="s">
        <v>1751</v>
      </c>
      <c r="C108" s="375" t="s">
        <v>666</v>
      </c>
      <c r="D108" s="372" t="s">
        <v>1714</v>
      </c>
      <c r="E108" s="481" t="s">
        <v>1649</v>
      </c>
      <c r="F108" s="75"/>
      <c r="G108" s="605">
        <v>40</v>
      </c>
      <c r="H108" s="605">
        <v>46</v>
      </c>
      <c r="I108" s="75"/>
      <c r="J108" s="75" t="s">
        <v>56</v>
      </c>
      <c r="K108" s="87">
        <v>46022</v>
      </c>
      <c r="L108" s="75" t="s">
        <v>1715</v>
      </c>
      <c r="M108" s="75" t="s">
        <v>100</v>
      </c>
      <c r="N108" s="88" t="s">
        <v>1716</v>
      </c>
    </row>
    <row r="109" spans="1:46" s="89" customFormat="1" ht="15.65" hidden="1" customHeight="1" x14ac:dyDescent="0.25">
      <c r="A109" s="411" t="s">
        <v>296</v>
      </c>
      <c r="B109" s="411" t="s">
        <v>1747</v>
      </c>
      <c r="C109" s="375" t="s">
        <v>675</v>
      </c>
      <c r="D109" s="372" t="s">
        <v>1714</v>
      </c>
      <c r="E109" s="481" t="s">
        <v>1649</v>
      </c>
      <c r="F109" s="75"/>
      <c r="G109" s="606">
        <v>32.630000000000003</v>
      </c>
      <c r="H109" s="605">
        <v>38.630000000000003</v>
      </c>
      <c r="I109" s="75"/>
      <c r="J109" s="75" t="s">
        <v>56</v>
      </c>
      <c r="K109" s="87" t="s">
        <v>1718</v>
      </c>
      <c r="L109" s="75" t="s">
        <v>1715</v>
      </c>
      <c r="M109" s="75" t="s">
        <v>100</v>
      </c>
      <c r="N109" s="88" t="s">
        <v>1716</v>
      </c>
    </row>
    <row r="110" spans="1:46" s="89" customFormat="1" ht="15.65" hidden="1" customHeight="1" x14ac:dyDescent="0.25">
      <c r="A110" s="411" t="s">
        <v>296</v>
      </c>
      <c r="B110" s="411" t="s">
        <v>1747</v>
      </c>
      <c r="C110" s="375" t="s">
        <v>675</v>
      </c>
      <c r="D110" s="372" t="s">
        <v>1781</v>
      </c>
      <c r="E110" s="481" t="s">
        <v>1649</v>
      </c>
      <c r="F110" s="75"/>
      <c r="G110" s="606">
        <v>31</v>
      </c>
      <c r="H110" s="605">
        <v>37</v>
      </c>
      <c r="I110" s="75"/>
      <c r="J110" s="75" t="s">
        <v>56</v>
      </c>
      <c r="K110" s="437" t="s">
        <v>1782</v>
      </c>
      <c r="L110" s="75" t="s">
        <v>1783</v>
      </c>
      <c r="M110" s="75" t="s">
        <v>100</v>
      </c>
      <c r="N110" s="88" t="s">
        <v>1784</v>
      </c>
    </row>
    <row r="111" spans="1:46" s="89" customFormat="1" ht="15.65" hidden="1" customHeight="1" x14ac:dyDescent="0.25">
      <c r="A111" s="411" t="s">
        <v>318</v>
      </c>
      <c r="B111" s="411"/>
      <c r="C111" s="375" t="s">
        <v>1692</v>
      </c>
      <c r="D111" s="372" t="s">
        <v>1714</v>
      </c>
      <c r="E111" s="480" t="s">
        <v>1649</v>
      </c>
      <c r="F111" s="75"/>
      <c r="G111" s="606">
        <v>143.65</v>
      </c>
      <c r="H111" s="605">
        <v>149.65</v>
      </c>
      <c r="I111" s="75"/>
      <c r="J111" s="75" t="s">
        <v>56</v>
      </c>
      <c r="K111" s="87">
        <v>46022</v>
      </c>
      <c r="L111" s="75" t="s">
        <v>1715</v>
      </c>
      <c r="M111" s="75" t="s">
        <v>100</v>
      </c>
      <c r="N111" s="88" t="s">
        <v>1716</v>
      </c>
    </row>
    <row r="112" spans="1:46" s="89" customFormat="1" ht="35" hidden="1" customHeight="1" x14ac:dyDescent="0.25">
      <c r="A112" s="413" t="s">
        <v>322</v>
      </c>
      <c r="B112" s="413"/>
      <c r="C112" s="374" t="s">
        <v>1693</v>
      </c>
      <c r="D112" s="372" t="s">
        <v>1810</v>
      </c>
      <c r="E112" s="371" t="s">
        <v>1649</v>
      </c>
      <c r="F112" s="75"/>
      <c r="G112" s="605">
        <v>23</v>
      </c>
      <c r="H112" s="605">
        <v>29</v>
      </c>
      <c r="I112" s="75"/>
      <c r="J112" s="75" t="s">
        <v>56</v>
      </c>
      <c r="K112" s="87">
        <v>46022</v>
      </c>
      <c r="L112" s="75" t="s">
        <v>1715</v>
      </c>
      <c r="M112" s="75" t="s">
        <v>100</v>
      </c>
      <c r="N112" s="439" t="s">
        <v>1809</v>
      </c>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row>
    <row r="113" spans="1:46" ht="15.65" hidden="1" customHeight="1" x14ac:dyDescent="0.25">
      <c r="A113" s="411" t="s">
        <v>682</v>
      </c>
      <c r="B113" s="406" t="s">
        <v>1750</v>
      </c>
      <c r="C113" s="375" t="s">
        <v>1527</v>
      </c>
      <c r="D113" s="372" t="s">
        <v>1714</v>
      </c>
      <c r="E113" s="371" t="s">
        <v>1649</v>
      </c>
      <c r="F113" s="75"/>
      <c r="G113" s="606">
        <v>46.05</v>
      </c>
      <c r="H113" s="605">
        <v>52.05</v>
      </c>
      <c r="I113" s="75"/>
      <c r="J113" s="75" t="s">
        <v>56</v>
      </c>
      <c r="K113" s="87">
        <v>46022</v>
      </c>
      <c r="L113" s="75" t="s">
        <v>1715</v>
      </c>
      <c r="M113" s="75" t="s">
        <v>100</v>
      </c>
      <c r="N113" s="88" t="s">
        <v>1716</v>
      </c>
    </row>
    <row r="114" spans="1:46" ht="15.65" hidden="1" customHeight="1" x14ac:dyDescent="0.25">
      <c r="A114" s="411" t="s">
        <v>379</v>
      </c>
      <c r="B114" s="411"/>
      <c r="C114" s="376" t="s">
        <v>1694</v>
      </c>
      <c r="D114" s="372" t="s">
        <v>1714</v>
      </c>
      <c r="E114" s="371" t="s">
        <v>1649</v>
      </c>
      <c r="F114" s="75"/>
      <c r="G114" s="606">
        <v>50.35</v>
      </c>
      <c r="H114" s="605">
        <v>56.35</v>
      </c>
      <c r="I114" s="75"/>
      <c r="J114" s="75" t="s">
        <v>56</v>
      </c>
      <c r="K114" s="87">
        <v>46022</v>
      </c>
      <c r="L114" s="75" t="s">
        <v>1715</v>
      </c>
      <c r="M114" s="75" t="s">
        <v>100</v>
      </c>
      <c r="N114" s="88" t="s">
        <v>1716</v>
      </c>
    </row>
    <row r="115" spans="1:46" ht="15.65" hidden="1" customHeight="1" x14ac:dyDescent="0.25">
      <c r="A115" s="411" t="s">
        <v>1015</v>
      </c>
      <c r="B115" s="411"/>
      <c r="C115" s="375" t="s">
        <v>1695</v>
      </c>
      <c r="D115" s="372" t="s">
        <v>1714</v>
      </c>
      <c r="E115" s="371" t="s">
        <v>1649</v>
      </c>
      <c r="F115" s="75"/>
      <c r="G115" s="605">
        <v>93.5</v>
      </c>
      <c r="H115" s="605">
        <v>99.5</v>
      </c>
      <c r="I115" s="75"/>
      <c r="J115" s="75" t="s">
        <v>56</v>
      </c>
      <c r="K115" s="87">
        <v>46022</v>
      </c>
      <c r="L115" s="75" t="s">
        <v>1715</v>
      </c>
      <c r="M115" s="75" t="s">
        <v>100</v>
      </c>
      <c r="N115" s="88" t="s">
        <v>1716</v>
      </c>
    </row>
    <row r="116" spans="1:46" s="89" customFormat="1" ht="15.65" hidden="1" customHeight="1" x14ac:dyDescent="0.25">
      <c r="A116" s="411">
        <v>33.01</v>
      </c>
      <c r="B116" s="411"/>
      <c r="C116" s="375" t="s">
        <v>1018</v>
      </c>
      <c r="D116" s="372" t="s">
        <v>1714</v>
      </c>
      <c r="E116" s="371" t="s">
        <v>1649</v>
      </c>
      <c r="F116" s="75"/>
      <c r="G116" s="605">
        <v>120.46</v>
      </c>
      <c r="H116" s="605">
        <v>126.46</v>
      </c>
      <c r="I116" s="75"/>
      <c r="J116" s="75" t="s">
        <v>56</v>
      </c>
      <c r="K116" s="87">
        <v>46022</v>
      </c>
      <c r="L116" s="75" t="s">
        <v>1715</v>
      </c>
      <c r="M116" s="75" t="s">
        <v>100</v>
      </c>
      <c r="N116" s="88" t="s">
        <v>1716</v>
      </c>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row>
    <row r="117" spans="1:46" s="89" customFormat="1" ht="15.65" hidden="1" customHeight="1" x14ac:dyDescent="0.25">
      <c r="A117" s="411" t="s">
        <v>700</v>
      </c>
      <c r="B117" s="411"/>
      <c r="C117" s="375" t="s">
        <v>1696</v>
      </c>
      <c r="D117" s="372" t="s">
        <v>1714</v>
      </c>
      <c r="E117" s="371" t="s">
        <v>1649</v>
      </c>
      <c r="F117" s="75"/>
      <c r="G117" s="606">
        <v>119.3</v>
      </c>
      <c r="H117" s="605">
        <v>125.3</v>
      </c>
      <c r="I117" s="75"/>
      <c r="J117" s="75" t="s">
        <v>56</v>
      </c>
      <c r="K117" s="87">
        <v>46022</v>
      </c>
      <c r="L117" s="75" t="s">
        <v>1715</v>
      </c>
      <c r="M117" s="75" t="s">
        <v>100</v>
      </c>
      <c r="N117" s="88" t="s">
        <v>1716</v>
      </c>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row>
    <row r="118" spans="1:46" s="89" customFormat="1" ht="15.65" hidden="1" customHeight="1" x14ac:dyDescent="0.25">
      <c r="A118" s="411">
        <v>41.098331999999999</v>
      </c>
      <c r="B118" s="411"/>
      <c r="C118" s="375" t="s">
        <v>1697</v>
      </c>
      <c r="D118" s="372" t="s">
        <v>1714</v>
      </c>
      <c r="E118" s="371" t="s">
        <v>1649</v>
      </c>
      <c r="F118" s="75"/>
      <c r="G118" s="605">
        <v>42</v>
      </c>
      <c r="H118" s="605">
        <v>48</v>
      </c>
      <c r="I118" s="75"/>
      <c r="J118" s="75" t="s">
        <v>56</v>
      </c>
      <c r="K118" s="87">
        <v>46022</v>
      </c>
      <c r="L118" s="75" t="s">
        <v>1715</v>
      </c>
      <c r="M118" s="75" t="s">
        <v>100</v>
      </c>
      <c r="N118" s="88" t="s">
        <v>1716</v>
      </c>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row>
    <row r="119" spans="1:46" ht="15.65" hidden="1" customHeight="1" x14ac:dyDescent="0.25">
      <c r="A119" s="411" t="s">
        <v>329</v>
      </c>
      <c r="B119" s="411"/>
      <c r="C119" s="376" t="s">
        <v>1698</v>
      </c>
      <c r="D119" s="372" t="s">
        <v>1714</v>
      </c>
      <c r="E119" s="371" t="s">
        <v>1649</v>
      </c>
      <c r="F119" s="75"/>
      <c r="G119" s="606">
        <v>38.75</v>
      </c>
      <c r="H119" s="605">
        <v>44.75</v>
      </c>
      <c r="I119" s="75"/>
      <c r="J119" s="75" t="s">
        <v>56</v>
      </c>
      <c r="K119" s="87">
        <v>46022</v>
      </c>
      <c r="L119" s="75" t="s">
        <v>1715</v>
      </c>
      <c r="M119" s="75" t="s">
        <v>100</v>
      </c>
      <c r="N119" s="88" t="s">
        <v>1716</v>
      </c>
    </row>
    <row r="120" spans="1:46" s="89" customFormat="1" ht="15.65" hidden="1" customHeight="1" x14ac:dyDescent="0.25">
      <c r="A120" s="411" t="s">
        <v>1343</v>
      </c>
      <c r="B120" s="411"/>
      <c r="C120" s="375" t="s">
        <v>1699</v>
      </c>
      <c r="D120" s="372" t="s">
        <v>1714</v>
      </c>
      <c r="E120" s="371" t="s">
        <v>1649</v>
      </c>
      <c r="F120" s="75"/>
      <c r="G120" s="605">
        <v>71.05</v>
      </c>
      <c r="H120" s="605">
        <v>77.05</v>
      </c>
      <c r="I120" s="75"/>
      <c r="J120" s="75" t="s">
        <v>56</v>
      </c>
      <c r="K120" s="87">
        <v>46022</v>
      </c>
      <c r="L120" s="75" t="s">
        <v>1715</v>
      </c>
      <c r="M120" s="75" t="s">
        <v>100</v>
      </c>
      <c r="N120" s="88" t="s">
        <v>1716</v>
      </c>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row>
    <row r="121" spans="1:46" s="89" customFormat="1" ht="15.65" hidden="1" customHeight="1" x14ac:dyDescent="0.25">
      <c r="A121" s="411" t="s">
        <v>342</v>
      </c>
      <c r="B121" s="411"/>
      <c r="C121" s="375" t="s">
        <v>753</v>
      </c>
      <c r="D121" s="372" t="s">
        <v>1714</v>
      </c>
      <c r="E121" s="371" t="s">
        <v>1649</v>
      </c>
      <c r="F121" s="75"/>
      <c r="G121" s="606">
        <v>29.21</v>
      </c>
      <c r="H121" s="605">
        <v>35.21</v>
      </c>
      <c r="I121" s="75"/>
      <c r="J121" s="75" t="s">
        <v>56</v>
      </c>
      <c r="K121" s="87">
        <v>46022</v>
      </c>
      <c r="L121" s="75" t="s">
        <v>1715</v>
      </c>
      <c r="M121" s="75" t="s">
        <v>100</v>
      </c>
      <c r="N121" s="88" t="s">
        <v>1716</v>
      </c>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row>
    <row r="122" spans="1:46" s="89" customFormat="1" ht="15.65" hidden="1" customHeight="1" x14ac:dyDescent="0.25">
      <c r="A122" s="411" t="s">
        <v>345</v>
      </c>
      <c r="B122" s="411"/>
      <c r="C122" s="375" t="s">
        <v>1029</v>
      </c>
      <c r="D122" s="372" t="s">
        <v>1714</v>
      </c>
      <c r="E122" s="371" t="s">
        <v>1649</v>
      </c>
      <c r="F122" s="75"/>
      <c r="G122" s="606">
        <v>62</v>
      </c>
      <c r="H122" s="605">
        <v>68</v>
      </c>
      <c r="I122" s="75"/>
      <c r="J122" s="75" t="s">
        <v>56</v>
      </c>
      <c r="K122" s="87">
        <v>46022</v>
      </c>
      <c r="L122" s="75" t="s">
        <v>1715</v>
      </c>
      <c r="M122" s="75" t="s">
        <v>100</v>
      </c>
      <c r="N122" s="88" t="s">
        <v>1716</v>
      </c>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row>
    <row r="123" spans="1:46" s="89" customFormat="1" ht="15.65" hidden="1" customHeight="1" x14ac:dyDescent="0.25">
      <c r="A123" s="411" t="s">
        <v>349</v>
      </c>
      <c r="B123" s="411"/>
      <c r="C123" s="375" t="s">
        <v>757</v>
      </c>
      <c r="D123" s="372" t="s">
        <v>1714</v>
      </c>
      <c r="E123" s="371" t="s">
        <v>1649</v>
      </c>
      <c r="F123" s="75"/>
      <c r="G123" s="606">
        <v>85.45</v>
      </c>
      <c r="H123" s="605">
        <v>91.45</v>
      </c>
      <c r="I123" s="75"/>
      <c r="J123" s="75" t="s">
        <v>56</v>
      </c>
      <c r="K123" s="87">
        <v>46022</v>
      </c>
      <c r="L123" s="75" t="s">
        <v>1715</v>
      </c>
      <c r="M123" s="75" t="s">
        <v>100</v>
      </c>
      <c r="N123" s="88" t="s">
        <v>1716</v>
      </c>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row>
    <row r="124" spans="1:46" s="89" customFormat="1" ht="15.65" hidden="1" customHeight="1" x14ac:dyDescent="0.25">
      <c r="A124" s="411" t="s">
        <v>353</v>
      </c>
      <c r="B124" s="411"/>
      <c r="C124" s="375" t="s">
        <v>1030</v>
      </c>
      <c r="D124" s="372" t="s">
        <v>1714</v>
      </c>
      <c r="E124" s="371" t="s">
        <v>1649</v>
      </c>
      <c r="F124" s="75"/>
      <c r="G124" s="606">
        <v>76.8</v>
      </c>
      <c r="H124" s="605">
        <v>82.8</v>
      </c>
      <c r="I124" s="75"/>
      <c r="J124" s="75" t="s">
        <v>56</v>
      </c>
      <c r="K124" s="87">
        <v>46022</v>
      </c>
      <c r="L124" s="75" t="s">
        <v>1715</v>
      </c>
      <c r="M124" s="75" t="s">
        <v>100</v>
      </c>
      <c r="N124" s="88" t="s">
        <v>1716</v>
      </c>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row>
    <row r="125" spans="1:46" s="89" customFormat="1" ht="15.65" hidden="1" customHeight="1" x14ac:dyDescent="0.25">
      <c r="A125" s="411" t="s">
        <v>734</v>
      </c>
      <c r="B125" s="411"/>
      <c r="C125" s="375" t="s">
        <v>1700</v>
      </c>
      <c r="D125" s="372" t="s">
        <v>1714</v>
      </c>
      <c r="E125" s="371" t="s">
        <v>1649</v>
      </c>
      <c r="F125" s="75"/>
      <c r="G125" s="605">
        <v>224</v>
      </c>
      <c r="H125" s="605">
        <v>230</v>
      </c>
      <c r="I125" s="75"/>
      <c r="J125" s="75" t="s">
        <v>56</v>
      </c>
      <c r="K125" s="87">
        <v>46022</v>
      </c>
      <c r="L125" s="75" t="s">
        <v>1715</v>
      </c>
      <c r="M125" s="75" t="s">
        <v>100</v>
      </c>
      <c r="N125" s="88" t="s">
        <v>1716</v>
      </c>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row>
    <row r="126" spans="1:46" s="89" customFormat="1" ht="32.25" hidden="1" customHeight="1" x14ac:dyDescent="0.25">
      <c r="A126" s="411">
        <v>48.002000000000002</v>
      </c>
      <c r="B126" s="411"/>
      <c r="C126" s="375" t="s">
        <v>899</v>
      </c>
      <c r="D126" s="372" t="s">
        <v>1714</v>
      </c>
      <c r="E126" s="371" t="s">
        <v>1649</v>
      </c>
      <c r="F126" s="75"/>
      <c r="G126" s="605">
        <v>159</v>
      </c>
      <c r="H126" s="605">
        <v>165</v>
      </c>
      <c r="I126" s="75"/>
      <c r="J126" s="75" t="s">
        <v>56</v>
      </c>
      <c r="K126" s="87">
        <v>46022</v>
      </c>
      <c r="L126" s="75" t="s">
        <v>1715</v>
      </c>
      <c r="M126" s="75" t="s">
        <v>100</v>
      </c>
      <c r="N126" s="88" t="s">
        <v>1716</v>
      </c>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row>
    <row r="127" spans="1:46" ht="15.65" hidden="1" customHeight="1" x14ac:dyDescent="0.25">
      <c r="A127" s="416">
        <v>49.13</v>
      </c>
      <c r="B127" s="416"/>
      <c r="C127" s="378" t="s">
        <v>1701</v>
      </c>
      <c r="D127" s="372" t="s">
        <v>1714</v>
      </c>
      <c r="E127" s="371" t="s">
        <v>1649</v>
      </c>
      <c r="F127" s="75"/>
      <c r="G127" s="607">
        <v>130.74</v>
      </c>
      <c r="H127" s="605">
        <v>136.74</v>
      </c>
      <c r="I127" s="75"/>
      <c r="J127" s="75" t="s">
        <v>56</v>
      </c>
      <c r="K127" s="87">
        <v>46022</v>
      </c>
      <c r="L127" s="75" t="s">
        <v>1715</v>
      </c>
      <c r="M127" s="75" t="s">
        <v>100</v>
      </c>
      <c r="N127" s="88" t="s">
        <v>1716</v>
      </c>
    </row>
    <row r="128" spans="1:46" ht="15.65" hidden="1" customHeight="1" x14ac:dyDescent="0.25">
      <c r="A128" s="411" t="s">
        <v>770</v>
      </c>
      <c r="B128" s="411"/>
      <c r="C128" s="375" t="s">
        <v>1702</v>
      </c>
      <c r="D128" s="372" t="s">
        <v>1714</v>
      </c>
      <c r="E128" s="371" t="s">
        <v>1649</v>
      </c>
      <c r="F128" s="75"/>
      <c r="G128" s="606">
        <v>26.65</v>
      </c>
      <c r="H128" s="605">
        <v>32.65</v>
      </c>
      <c r="I128" s="75"/>
      <c r="J128" s="75" t="s">
        <v>56</v>
      </c>
      <c r="K128" s="87">
        <v>46022</v>
      </c>
      <c r="L128" s="75" t="s">
        <v>1715</v>
      </c>
      <c r="M128" s="75" t="s">
        <v>100</v>
      </c>
      <c r="N128" s="88" t="s">
        <v>1716</v>
      </c>
    </row>
    <row r="129" spans="1:46" ht="15.65" hidden="1" customHeight="1" x14ac:dyDescent="0.25">
      <c r="A129" s="411">
        <v>51.43</v>
      </c>
      <c r="B129" s="411"/>
      <c r="C129" s="375" t="s">
        <v>1703</v>
      </c>
      <c r="D129" s="372" t="s">
        <v>1714</v>
      </c>
      <c r="E129" s="371" t="s">
        <v>1649</v>
      </c>
      <c r="F129" s="75"/>
      <c r="G129" s="606">
        <v>18.399999999999999</v>
      </c>
      <c r="H129" s="605">
        <v>24.4</v>
      </c>
      <c r="I129" s="75"/>
      <c r="J129" s="75" t="s">
        <v>56</v>
      </c>
      <c r="K129" s="87">
        <v>46022</v>
      </c>
      <c r="L129" s="75" t="s">
        <v>1715</v>
      </c>
      <c r="M129" s="75" t="s">
        <v>100</v>
      </c>
      <c r="N129" s="88" t="s">
        <v>1716</v>
      </c>
    </row>
    <row r="130" spans="1:46" ht="15.65" hidden="1" customHeight="1" x14ac:dyDescent="0.25">
      <c r="A130" s="411" t="s">
        <v>785</v>
      </c>
      <c r="B130" s="411"/>
      <c r="C130" s="375" t="s">
        <v>1704</v>
      </c>
      <c r="D130" s="372" t="s">
        <v>1714</v>
      </c>
      <c r="E130" s="371" t="s">
        <v>1649</v>
      </c>
      <c r="F130" s="75"/>
      <c r="G130" s="606">
        <v>47.37</v>
      </c>
      <c r="H130" s="605">
        <v>53.37</v>
      </c>
      <c r="I130" s="75"/>
      <c r="J130" s="75" t="s">
        <v>56</v>
      </c>
      <c r="K130" s="87">
        <v>46022</v>
      </c>
      <c r="L130" s="75" t="s">
        <v>1715</v>
      </c>
      <c r="M130" s="75" t="s">
        <v>100</v>
      </c>
      <c r="N130" s="88" t="s">
        <v>1716</v>
      </c>
    </row>
    <row r="131" spans="1:46" ht="15.65" hidden="1" customHeight="1" x14ac:dyDescent="0.25">
      <c r="A131" s="411" t="s">
        <v>1035</v>
      </c>
      <c r="B131" s="411"/>
      <c r="C131" s="376" t="s">
        <v>1705</v>
      </c>
      <c r="D131" s="372" t="s">
        <v>1714</v>
      </c>
      <c r="E131" s="371" t="s">
        <v>1649</v>
      </c>
      <c r="F131" s="75"/>
      <c r="G131" s="605">
        <v>35.25</v>
      </c>
      <c r="H131" s="605">
        <v>41.25</v>
      </c>
      <c r="I131" s="75"/>
      <c r="J131" s="75" t="s">
        <v>56</v>
      </c>
      <c r="K131" s="87">
        <v>46022</v>
      </c>
      <c r="L131" s="75" t="s">
        <v>1715</v>
      </c>
      <c r="M131" s="75" t="s">
        <v>100</v>
      </c>
      <c r="N131" s="88" t="s">
        <v>1716</v>
      </c>
    </row>
    <row r="132" spans="1:46" ht="15.65" customHeight="1" x14ac:dyDescent="0.25">
      <c r="A132" s="411" t="s">
        <v>813</v>
      </c>
      <c r="B132" s="411"/>
      <c r="C132" s="376" t="s">
        <v>1706</v>
      </c>
      <c r="D132" s="372" t="s">
        <v>1714</v>
      </c>
      <c r="E132" s="371" t="s">
        <v>1649</v>
      </c>
      <c r="F132" s="75"/>
      <c r="G132" s="606">
        <v>46</v>
      </c>
      <c r="H132" s="605">
        <v>52</v>
      </c>
      <c r="I132" s="75"/>
      <c r="J132" s="75" t="s">
        <v>56</v>
      </c>
      <c r="K132" s="87">
        <v>46022</v>
      </c>
      <c r="L132" s="75" t="s">
        <v>1715</v>
      </c>
      <c r="M132" s="75" t="s">
        <v>100</v>
      </c>
      <c r="N132" s="88" t="s">
        <v>1716</v>
      </c>
    </row>
    <row r="133" spans="1:46" ht="15.65" hidden="1" customHeight="1" x14ac:dyDescent="0.25">
      <c r="A133" s="411" t="s">
        <v>1055</v>
      </c>
      <c r="B133" s="411"/>
      <c r="C133" s="376" t="s">
        <v>1707</v>
      </c>
      <c r="D133" s="372" t="s">
        <v>1714</v>
      </c>
      <c r="E133" s="371" t="s">
        <v>1649</v>
      </c>
      <c r="F133" s="75"/>
      <c r="G133" s="606">
        <v>34</v>
      </c>
      <c r="H133" s="605">
        <v>40</v>
      </c>
      <c r="I133" s="75"/>
      <c r="J133" s="75" t="s">
        <v>56</v>
      </c>
      <c r="K133" s="87">
        <v>46022</v>
      </c>
      <c r="L133" s="75" t="s">
        <v>1715</v>
      </c>
      <c r="M133" s="75" t="s">
        <v>100</v>
      </c>
      <c r="N133" s="88" t="s">
        <v>1716</v>
      </c>
    </row>
    <row r="134" spans="1:46" s="89" customFormat="1" ht="15.65" hidden="1" customHeight="1" x14ac:dyDescent="0.25">
      <c r="A134" s="411" t="s">
        <v>775</v>
      </c>
      <c r="B134" s="411"/>
      <c r="C134" s="375" t="s">
        <v>776</v>
      </c>
      <c r="D134" s="372" t="s">
        <v>1714</v>
      </c>
      <c r="E134" s="371" t="s">
        <v>1649</v>
      </c>
      <c r="F134" s="75"/>
      <c r="G134" s="606">
        <v>33.659999999999997</v>
      </c>
      <c r="H134" s="605">
        <v>39.659999999999997</v>
      </c>
      <c r="I134" s="75"/>
      <c r="J134" s="75" t="s">
        <v>56</v>
      </c>
      <c r="K134" s="87">
        <v>46022</v>
      </c>
      <c r="L134" s="75" t="s">
        <v>1715</v>
      </c>
      <c r="M134" s="75" t="s">
        <v>100</v>
      </c>
      <c r="N134" s="88" t="s">
        <v>1716</v>
      </c>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row>
    <row r="135" spans="1:46" ht="15.65" hidden="1" customHeight="1" x14ac:dyDescent="0.25">
      <c r="A135" s="411" t="s">
        <v>360</v>
      </c>
      <c r="B135" s="411"/>
      <c r="C135" s="376" t="s">
        <v>1708</v>
      </c>
      <c r="D135" s="372" t="s">
        <v>1714</v>
      </c>
      <c r="E135" s="371" t="s">
        <v>1649</v>
      </c>
      <c r="F135" s="75"/>
      <c r="G135" s="606">
        <v>43.95</v>
      </c>
      <c r="H135" s="605">
        <v>49.95</v>
      </c>
      <c r="I135" s="75"/>
      <c r="J135" s="75" t="s">
        <v>56</v>
      </c>
      <c r="K135" s="87">
        <v>46022</v>
      </c>
      <c r="L135" s="75" t="s">
        <v>1715</v>
      </c>
      <c r="M135" s="75" t="s">
        <v>100</v>
      </c>
      <c r="N135" s="88" t="s">
        <v>1716</v>
      </c>
    </row>
    <row r="136" spans="1:46" ht="15.65" hidden="1" customHeight="1" x14ac:dyDescent="0.25">
      <c r="A136" s="411" t="s">
        <v>788</v>
      </c>
      <c r="B136" s="411"/>
      <c r="C136" s="376" t="s">
        <v>1709</v>
      </c>
      <c r="D136" s="372" t="s">
        <v>1714</v>
      </c>
      <c r="E136" s="371" t="s">
        <v>1649</v>
      </c>
      <c r="F136" s="75"/>
      <c r="G136" s="606">
        <v>81.05</v>
      </c>
      <c r="H136" s="605">
        <v>87.05</v>
      </c>
      <c r="I136" s="75"/>
      <c r="J136" s="75" t="s">
        <v>56</v>
      </c>
      <c r="K136" s="87">
        <v>46022</v>
      </c>
      <c r="L136" s="75" t="s">
        <v>1715</v>
      </c>
      <c r="M136" s="75" t="s">
        <v>100</v>
      </c>
      <c r="N136" s="88" t="s">
        <v>1716</v>
      </c>
    </row>
    <row r="137" spans="1:46" ht="15.65" hidden="1" customHeight="1" x14ac:dyDescent="0.25">
      <c r="A137" s="411" t="s">
        <v>423</v>
      </c>
      <c r="B137" s="411"/>
      <c r="C137" s="375" t="s">
        <v>424</v>
      </c>
      <c r="D137" s="372" t="s">
        <v>1714</v>
      </c>
      <c r="E137" s="371" t="s">
        <v>1649</v>
      </c>
      <c r="F137" s="75"/>
      <c r="G137" s="606">
        <v>111.9</v>
      </c>
      <c r="H137" s="605">
        <v>117.9</v>
      </c>
      <c r="I137" s="75"/>
      <c r="J137" s="75" t="s">
        <v>56</v>
      </c>
      <c r="K137" s="87">
        <v>46022</v>
      </c>
      <c r="L137" s="75" t="s">
        <v>1715</v>
      </c>
      <c r="M137" s="75" t="s">
        <v>100</v>
      </c>
      <c r="N137" s="88" t="s">
        <v>1716</v>
      </c>
    </row>
    <row r="138" spans="1:46" s="89" customFormat="1" ht="15.65" hidden="1" customHeight="1" x14ac:dyDescent="0.25">
      <c r="A138" s="411" t="s">
        <v>797</v>
      </c>
      <c r="B138" s="411"/>
      <c r="C138" s="375" t="s">
        <v>798</v>
      </c>
      <c r="D138" s="372" t="s">
        <v>1714</v>
      </c>
      <c r="E138" s="371" t="s">
        <v>1649</v>
      </c>
      <c r="F138" s="75"/>
      <c r="G138" s="606">
        <v>103</v>
      </c>
      <c r="H138" s="605">
        <v>109</v>
      </c>
      <c r="I138" s="75"/>
      <c r="J138" s="75" t="s">
        <v>56</v>
      </c>
      <c r="K138" s="87">
        <v>46022</v>
      </c>
      <c r="L138" s="75" t="s">
        <v>1715</v>
      </c>
      <c r="M138" s="75" t="s">
        <v>100</v>
      </c>
      <c r="N138" s="88" t="s">
        <v>1716</v>
      </c>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row>
    <row r="139" spans="1:46" s="89" customFormat="1" ht="15.65" hidden="1" customHeight="1" x14ac:dyDescent="0.25">
      <c r="A139" s="411" t="s">
        <v>801</v>
      </c>
      <c r="B139" s="411"/>
      <c r="C139" s="375" t="s">
        <v>802</v>
      </c>
      <c r="D139" s="372" t="s">
        <v>1714</v>
      </c>
      <c r="E139" s="371" t="s">
        <v>1649</v>
      </c>
      <c r="F139" s="75"/>
      <c r="G139" s="605">
        <v>145</v>
      </c>
      <c r="H139" s="605">
        <v>151</v>
      </c>
      <c r="I139" s="75"/>
      <c r="J139" s="75" t="s">
        <v>56</v>
      </c>
      <c r="K139" s="87">
        <v>46022</v>
      </c>
      <c r="L139" s="75" t="s">
        <v>1715</v>
      </c>
      <c r="M139" s="75" t="s">
        <v>100</v>
      </c>
      <c r="N139" s="88" t="s">
        <v>1716</v>
      </c>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row>
    <row r="140" spans="1:46" ht="15.65" hidden="1" customHeight="1" x14ac:dyDescent="0.25">
      <c r="A140" s="413" t="s">
        <v>862</v>
      </c>
      <c r="B140" s="413"/>
      <c r="C140" s="375" t="s">
        <v>1710</v>
      </c>
      <c r="D140" s="372" t="s">
        <v>1714</v>
      </c>
      <c r="E140" s="371" t="s">
        <v>1649</v>
      </c>
      <c r="F140" s="75"/>
      <c r="G140" s="605">
        <v>223.35</v>
      </c>
      <c r="H140" s="605">
        <v>229.35</v>
      </c>
      <c r="I140" s="75"/>
      <c r="J140" s="75" t="s">
        <v>56</v>
      </c>
      <c r="K140" s="87">
        <v>46022</v>
      </c>
      <c r="L140" s="75" t="s">
        <v>1715</v>
      </c>
      <c r="M140" s="75" t="s">
        <v>100</v>
      </c>
      <c r="N140" s="88" t="s">
        <v>1716</v>
      </c>
    </row>
    <row r="141" spans="1:46" ht="15.65" hidden="1" customHeight="1" x14ac:dyDescent="0.25">
      <c r="A141" s="411" t="s">
        <v>807</v>
      </c>
      <c r="B141" s="411"/>
      <c r="C141" s="376" t="s">
        <v>1711</v>
      </c>
      <c r="D141" s="372" t="s">
        <v>1714</v>
      </c>
      <c r="E141" s="371" t="s">
        <v>1649</v>
      </c>
      <c r="F141" s="75"/>
      <c r="G141" s="606">
        <v>68.900000000000006</v>
      </c>
      <c r="H141" s="605">
        <v>74.900000000000006</v>
      </c>
      <c r="I141" s="75"/>
      <c r="J141" s="75" t="s">
        <v>56</v>
      </c>
      <c r="K141" s="87">
        <v>46022</v>
      </c>
      <c r="L141" s="75" t="s">
        <v>1715</v>
      </c>
      <c r="M141" s="75" t="s">
        <v>100</v>
      </c>
      <c r="N141" s="88" t="s">
        <v>1716</v>
      </c>
    </row>
    <row r="142" spans="1:46" ht="15.65" hidden="1" customHeight="1" x14ac:dyDescent="0.25">
      <c r="A142" s="411" t="s">
        <v>867</v>
      </c>
      <c r="B142" s="411"/>
      <c r="C142" s="375" t="s">
        <v>1047</v>
      </c>
      <c r="D142" s="372" t="s">
        <v>1714</v>
      </c>
      <c r="E142" s="371" t="s">
        <v>1649</v>
      </c>
      <c r="F142" s="75"/>
      <c r="G142" s="605">
        <v>48.2</v>
      </c>
      <c r="H142" s="605">
        <v>54.2</v>
      </c>
      <c r="I142" s="75"/>
      <c r="J142" s="75" t="s">
        <v>56</v>
      </c>
      <c r="K142" s="87">
        <v>46022</v>
      </c>
      <c r="L142" s="75" t="s">
        <v>1715</v>
      </c>
      <c r="M142" s="75" t="s">
        <v>100</v>
      </c>
      <c r="N142" s="88" t="s">
        <v>1716</v>
      </c>
    </row>
    <row r="143" spans="1:46" ht="15.65" hidden="1" customHeight="1" x14ac:dyDescent="0.25">
      <c r="A143" s="411" t="s">
        <v>817</v>
      </c>
      <c r="B143" s="411"/>
      <c r="C143" s="375" t="s">
        <v>818</v>
      </c>
      <c r="D143" s="372" t="s">
        <v>1714</v>
      </c>
      <c r="E143" s="371" t="s">
        <v>1649</v>
      </c>
      <c r="F143" s="75"/>
      <c r="G143" s="605">
        <v>131.94999999999999</v>
      </c>
      <c r="H143" s="605">
        <v>137.94999999999999</v>
      </c>
      <c r="I143" s="75"/>
      <c r="J143" s="75" t="s">
        <v>56</v>
      </c>
      <c r="K143" s="87">
        <v>46022</v>
      </c>
      <c r="L143" s="75" t="s">
        <v>1715</v>
      </c>
      <c r="M143" s="75" t="s">
        <v>100</v>
      </c>
      <c r="N143" s="88" t="s">
        <v>1716</v>
      </c>
    </row>
    <row r="144" spans="1:46" ht="15.65" hidden="1" customHeight="1" x14ac:dyDescent="0.25">
      <c r="A144" s="416" t="s">
        <v>829</v>
      </c>
      <c r="B144" s="416"/>
      <c r="C144" s="378" t="s">
        <v>830</v>
      </c>
      <c r="D144" s="372" t="s">
        <v>1714</v>
      </c>
      <c r="E144" s="371" t="s">
        <v>1649</v>
      </c>
      <c r="F144" s="75"/>
      <c r="G144" s="606">
        <v>62.42</v>
      </c>
      <c r="H144" s="605">
        <v>68.42</v>
      </c>
      <c r="I144" s="75"/>
      <c r="J144" s="75" t="s">
        <v>56</v>
      </c>
      <c r="K144" s="87">
        <v>46022</v>
      </c>
      <c r="L144" s="75" t="s">
        <v>1715</v>
      </c>
      <c r="M144" s="75" t="s">
        <v>100</v>
      </c>
      <c r="N144" s="88" t="s">
        <v>1716</v>
      </c>
    </row>
    <row r="145" spans="1:46" ht="15.65" hidden="1" customHeight="1" x14ac:dyDescent="0.25">
      <c r="A145" s="411" t="s">
        <v>831</v>
      </c>
      <c r="B145" s="411"/>
      <c r="C145" s="375" t="s">
        <v>1712</v>
      </c>
      <c r="D145" s="372" t="s">
        <v>1714</v>
      </c>
      <c r="E145" s="371" t="s">
        <v>1649</v>
      </c>
      <c r="F145" s="75"/>
      <c r="G145" s="606">
        <v>36.5</v>
      </c>
      <c r="H145" s="605">
        <v>42.5</v>
      </c>
      <c r="I145" s="75"/>
      <c r="J145" s="75" t="s">
        <v>56</v>
      </c>
      <c r="K145" s="87">
        <v>46022</v>
      </c>
      <c r="L145" s="75" t="s">
        <v>1715</v>
      </c>
      <c r="M145" s="75" t="s">
        <v>100</v>
      </c>
      <c r="N145" s="88" t="s">
        <v>1716</v>
      </c>
    </row>
    <row r="146" spans="1:46" s="89" customFormat="1" ht="15.65" hidden="1" customHeight="1" x14ac:dyDescent="0.25">
      <c r="A146" s="411">
        <v>70.040000000000006</v>
      </c>
      <c r="B146" s="411"/>
      <c r="C146" s="375" t="s">
        <v>845</v>
      </c>
      <c r="D146" s="372" t="s">
        <v>1714</v>
      </c>
      <c r="E146" s="371" t="s">
        <v>1649</v>
      </c>
      <c r="F146" s="75"/>
      <c r="G146" s="606">
        <v>22.35</v>
      </c>
      <c r="H146" s="605">
        <v>28.35</v>
      </c>
      <c r="I146" s="75"/>
      <c r="J146" s="75" t="s">
        <v>56</v>
      </c>
      <c r="K146" s="87">
        <v>46022</v>
      </c>
      <c r="L146" s="75" t="s">
        <v>1715</v>
      </c>
      <c r="M146" s="75" t="s">
        <v>100</v>
      </c>
      <c r="N146" s="88" t="s">
        <v>1716</v>
      </c>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row>
    <row r="147" spans="1:46" s="89" customFormat="1" ht="15.65" hidden="1" customHeight="1" x14ac:dyDescent="0.25">
      <c r="A147" s="411" t="s">
        <v>1096</v>
      </c>
      <c r="B147" s="411"/>
      <c r="C147" s="375" t="s">
        <v>1713</v>
      </c>
      <c r="D147" s="372" t="s">
        <v>1714</v>
      </c>
      <c r="E147" s="371" t="s">
        <v>1649</v>
      </c>
      <c r="F147" s="75"/>
      <c r="G147" s="606">
        <v>35.049999999999997</v>
      </c>
      <c r="H147" s="605">
        <v>41.05</v>
      </c>
      <c r="I147" s="75"/>
      <c r="J147" s="75" t="s">
        <v>56</v>
      </c>
      <c r="K147" s="87">
        <v>46022</v>
      </c>
      <c r="L147" s="75" t="s">
        <v>1715</v>
      </c>
      <c r="M147" s="75" t="s">
        <v>100</v>
      </c>
      <c r="N147" s="88" t="s">
        <v>1716</v>
      </c>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row>
    <row r="148" spans="1:46" s="89" customFormat="1" ht="15.65" hidden="1" customHeight="1" x14ac:dyDescent="0.35">
      <c r="A148" s="138" t="s">
        <v>768</v>
      </c>
      <c r="B148" s="138"/>
      <c r="C148" s="75" t="s">
        <v>1401</v>
      </c>
      <c r="D148" s="372" t="s">
        <v>18</v>
      </c>
      <c r="E148" s="371" t="s">
        <v>1649</v>
      </c>
      <c r="F148" s="75"/>
      <c r="G148" s="86">
        <v>54.45</v>
      </c>
      <c r="H148" s="86">
        <v>60.45</v>
      </c>
      <c r="I148" s="75"/>
      <c r="J148" s="75" t="s">
        <v>487</v>
      </c>
      <c r="K148" s="87">
        <v>46022</v>
      </c>
      <c r="L148" s="75" t="s">
        <v>1727</v>
      </c>
      <c r="M148" s="75" t="s">
        <v>20</v>
      </c>
      <c r="N148" s="88" t="s">
        <v>1808</v>
      </c>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row>
    <row r="149" spans="1:46" s="89" customFormat="1" ht="15.65" hidden="1" customHeight="1" x14ac:dyDescent="0.35">
      <c r="A149" s="138" t="s">
        <v>1728</v>
      </c>
      <c r="B149" s="138"/>
      <c r="C149" s="75" t="s">
        <v>1729</v>
      </c>
      <c r="D149" s="372" t="s">
        <v>18</v>
      </c>
      <c r="E149" s="371" t="s">
        <v>1649</v>
      </c>
      <c r="F149" s="75"/>
      <c r="G149" s="86">
        <v>31.05</v>
      </c>
      <c r="H149" s="86">
        <v>37.049999999999997</v>
      </c>
      <c r="I149" s="75"/>
      <c r="J149" s="75" t="s">
        <v>487</v>
      </c>
      <c r="K149" s="87">
        <v>46022</v>
      </c>
      <c r="L149" s="75" t="s">
        <v>1727</v>
      </c>
      <c r="M149" s="75" t="s">
        <v>20</v>
      </c>
      <c r="N149" s="88"/>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row>
    <row r="150" spans="1:46" s="89" customFormat="1" ht="15.65" hidden="1" customHeight="1" x14ac:dyDescent="0.35">
      <c r="A150" s="138" t="s">
        <v>16</v>
      </c>
      <c r="B150" s="138"/>
      <c r="C150" s="75" t="s">
        <v>1730</v>
      </c>
      <c r="D150" s="372" t="s">
        <v>18</v>
      </c>
      <c r="E150" s="371" t="s">
        <v>1649</v>
      </c>
      <c r="F150" s="75"/>
      <c r="G150" s="86">
        <v>0</v>
      </c>
      <c r="H150" s="86">
        <v>0</v>
      </c>
      <c r="I150" s="75">
        <v>35</v>
      </c>
      <c r="J150" s="75" t="s">
        <v>487</v>
      </c>
      <c r="K150" s="87">
        <v>46022</v>
      </c>
      <c r="L150" s="75" t="s">
        <v>1731</v>
      </c>
      <c r="M150" s="75" t="s">
        <v>20</v>
      </c>
      <c r="N150" s="88"/>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row>
    <row r="151" spans="1:46" s="89" customFormat="1" ht="15.65" hidden="1" customHeight="1" x14ac:dyDescent="0.35">
      <c r="A151" s="138" t="s">
        <v>1732</v>
      </c>
      <c r="B151" s="138"/>
      <c r="C151" s="75" t="s">
        <v>1733</v>
      </c>
      <c r="D151" s="372" t="s">
        <v>18</v>
      </c>
      <c r="E151" s="371" t="s">
        <v>1649</v>
      </c>
      <c r="F151" s="75"/>
      <c r="G151" s="86">
        <v>102</v>
      </c>
      <c r="H151" s="86">
        <v>108</v>
      </c>
      <c r="I151" s="75"/>
      <c r="J151" s="75" t="s">
        <v>487</v>
      </c>
      <c r="K151" s="87">
        <v>46022</v>
      </c>
      <c r="L151" s="75" t="s">
        <v>1727</v>
      </c>
      <c r="M151" s="75" t="s">
        <v>20</v>
      </c>
      <c r="N151" s="88"/>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row>
    <row r="152" spans="1:46" s="89" customFormat="1" ht="15.65" hidden="1" customHeight="1" x14ac:dyDescent="0.35">
      <c r="A152" s="138" t="s">
        <v>1415</v>
      </c>
      <c r="B152" s="138"/>
      <c r="C152" s="75" t="s">
        <v>1734</v>
      </c>
      <c r="D152" s="372" t="s">
        <v>18</v>
      </c>
      <c r="E152" s="371" t="s">
        <v>1649</v>
      </c>
      <c r="F152" s="75"/>
      <c r="G152" s="86">
        <v>30.95</v>
      </c>
      <c r="H152" s="86">
        <v>36.950000000000003</v>
      </c>
      <c r="I152" s="75"/>
      <c r="J152" s="75" t="s">
        <v>487</v>
      </c>
      <c r="K152" s="87">
        <v>46022</v>
      </c>
      <c r="L152" s="75" t="s">
        <v>1727</v>
      </c>
      <c r="M152" s="75" t="s">
        <v>20</v>
      </c>
      <c r="N152" s="88"/>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row>
    <row r="153" spans="1:46" ht="15.65" hidden="1" customHeight="1" x14ac:dyDescent="0.35">
      <c r="A153" s="138" t="s">
        <v>710</v>
      </c>
      <c r="B153" s="138"/>
      <c r="C153" s="75" t="s">
        <v>1736</v>
      </c>
      <c r="D153" s="372" t="s">
        <v>18</v>
      </c>
      <c r="E153" s="371" t="s">
        <v>1649</v>
      </c>
      <c r="F153" s="75"/>
      <c r="G153" s="90">
        <v>62</v>
      </c>
      <c r="H153" s="90">
        <v>68</v>
      </c>
      <c r="I153" s="75"/>
      <c r="J153" s="75" t="s">
        <v>487</v>
      </c>
      <c r="K153" s="87">
        <v>46022</v>
      </c>
      <c r="L153" s="75" t="s">
        <v>1727</v>
      </c>
      <c r="M153" s="75" t="s">
        <v>20</v>
      </c>
      <c r="N153" s="88"/>
    </row>
    <row r="154" spans="1:46" s="89" customFormat="1" ht="15.65" hidden="1" customHeight="1" x14ac:dyDescent="0.35">
      <c r="A154" s="138" t="s">
        <v>435</v>
      </c>
      <c r="B154" s="138"/>
      <c r="C154" s="75" t="s">
        <v>436</v>
      </c>
      <c r="D154" s="372" t="s">
        <v>18</v>
      </c>
      <c r="E154" s="371" t="s">
        <v>1649</v>
      </c>
      <c r="F154" s="75"/>
      <c r="G154" s="90">
        <v>37</v>
      </c>
      <c r="H154" s="90">
        <v>43</v>
      </c>
      <c r="I154" s="75"/>
      <c r="J154" s="75" t="s">
        <v>487</v>
      </c>
      <c r="K154" s="87">
        <v>46022</v>
      </c>
      <c r="L154" s="75" t="s">
        <v>1727</v>
      </c>
      <c r="M154" s="75" t="s">
        <v>20</v>
      </c>
      <c r="N154" s="88"/>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row>
    <row r="155" spans="1:46" s="89" customFormat="1" ht="15.65" hidden="1" customHeight="1" x14ac:dyDescent="0.35">
      <c r="A155" s="138" t="s">
        <v>993</v>
      </c>
      <c r="B155" s="138"/>
      <c r="C155" s="75" t="s">
        <v>994</v>
      </c>
      <c r="D155" s="372" t="s">
        <v>18</v>
      </c>
      <c r="E155" s="371" t="s">
        <v>1649</v>
      </c>
      <c r="F155" s="75"/>
      <c r="G155" s="86">
        <v>50.95</v>
      </c>
      <c r="H155" s="86">
        <v>56.95</v>
      </c>
      <c r="I155" s="75"/>
      <c r="J155" s="75" t="s">
        <v>487</v>
      </c>
      <c r="K155" s="87">
        <v>46022</v>
      </c>
      <c r="L155" s="75" t="s">
        <v>1737</v>
      </c>
      <c r="M155" s="75" t="s">
        <v>20</v>
      </c>
      <c r="N155" s="88"/>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row>
    <row r="156" spans="1:46" ht="15.65" hidden="1" customHeight="1" x14ac:dyDescent="0.35">
      <c r="A156" s="138" t="s">
        <v>836</v>
      </c>
      <c r="B156" s="138"/>
      <c r="C156" s="75" t="s">
        <v>1061</v>
      </c>
      <c r="D156" s="372" t="s">
        <v>18</v>
      </c>
      <c r="E156" s="371" t="s">
        <v>1649</v>
      </c>
      <c r="F156" s="75"/>
      <c r="G156" s="86">
        <v>51.05</v>
      </c>
      <c r="H156" s="86">
        <v>57.05</v>
      </c>
      <c r="I156" s="75"/>
      <c r="J156" s="75" t="s">
        <v>487</v>
      </c>
      <c r="K156" s="87">
        <v>46022</v>
      </c>
      <c r="L156" s="75" t="s">
        <v>1727</v>
      </c>
      <c r="M156" s="75" t="s">
        <v>20</v>
      </c>
      <c r="N156" s="88"/>
    </row>
    <row r="157" spans="1:46" s="89" customFormat="1" ht="15.65" hidden="1" customHeight="1" x14ac:dyDescent="0.35">
      <c r="A157" s="138" t="s">
        <v>631</v>
      </c>
      <c r="B157" s="138"/>
      <c r="C157" s="75" t="s">
        <v>1739</v>
      </c>
      <c r="D157" s="372" t="s">
        <v>18</v>
      </c>
      <c r="E157" s="371" t="s">
        <v>1649</v>
      </c>
      <c r="F157" s="75"/>
      <c r="G157" s="86">
        <v>30.05</v>
      </c>
      <c r="H157" s="86">
        <v>36.049999999999997</v>
      </c>
      <c r="I157" s="75"/>
      <c r="J157" s="75" t="s">
        <v>487</v>
      </c>
      <c r="K157" s="87">
        <v>46022</v>
      </c>
      <c r="L157" s="75" t="s">
        <v>1740</v>
      </c>
      <c r="M157" s="75" t="s">
        <v>20</v>
      </c>
      <c r="N157" s="88"/>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row>
    <row r="158" spans="1:46" s="89" customFormat="1" ht="15.65" hidden="1" customHeight="1" x14ac:dyDescent="0.35">
      <c r="A158" s="138" t="s">
        <v>414</v>
      </c>
      <c r="B158" s="138"/>
      <c r="C158" s="75" t="s">
        <v>1431</v>
      </c>
      <c r="D158" s="372" t="s">
        <v>18</v>
      </c>
      <c r="E158" s="371" t="s">
        <v>1649</v>
      </c>
      <c r="F158" s="75"/>
      <c r="G158" s="90">
        <v>278</v>
      </c>
      <c r="H158" s="90">
        <v>284</v>
      </c>
      <c r="I158" s="75"/>
      <c r="J158" s="75" t="s">
        <v>487</v>
      </c>
      <c r="K158" s="87">
        <v>46022</v>
      </c>
      <c r="L158" s="75" t="s">
        <v>1740</v>
      </c>
      <c r="M158" s="75" t="s">
        <v>20</v>
      </c>
      <c r="N158" s="88"/>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row>
    <row r="159" spans="1:46" s="89" customFormat="1" ht="15.65" hidden="1" customHeight="1" x14ac:dyDescent="0.35">
      <c r="A159" s="417" t="s">
        <v>113</v>
      </c>
      <c r="B159" s="417"/>
      <c r="C159" s="391" t="s">
        <v>1722</v>
      </c>
      <c r="D159" s="372" t="s">
        <v>18</v>
      </c>
      <c r="E159" s="371" t="s">
        <v>1649</v>
      </c>
      <c r="F159" s="75"/>
      <c r="G159" s="86">
        <v>156.55000000000001</v>
      </c>
      <c r="H159" s="394">
        <v>162.55000000000001</v>
      </c>
      <c r="I159" s="75"/>
      <c r="J159" s="75" t="s">
        <v>487</v>
      </c>
      <c r="K159" s="87">
        <v>46022</v>
      </c>
      <c r="L159" s="75" t="s">
        <v>1741</v>
      </c>
      <c r="M159" s="75" t="s">
        <v>20</v>
      </c>
      <c r="N159" s="88"/>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row>
    <row r="160" spans="1:46" ht="15.65" hidden="1" customHeight="1" x14ac:dyDescent="0.35">
      <c r="A160" s="418" t="s">
        <v>1724</v>
      </c>
      <c r="B160" s="418"/>
      <c r="C160" s="391" t="s">
        <v>1725</v>
      </c>
      <c r="D160" s="372" t="s">
        <v>18</v>
      </c>
      <c r="E160" s="371" t="s">
        <v>1649</v>
      </c>
      <c r="F160" s="75"/>
      <c r="G160" s="395">
        <v>30.05</v>
      </c>
      <c r="H160" s="394">
        <v>36.049999999999997</v>
      </c>
      <c r="I160" s="396"/>
      <c r="J160" s="393" t="s">
        <v>487</v>
      </c>
      <c r="K160" s="397">
        <v>46022</v>
      </c>
      <c r="L160" s="398" t="s">
        <v>1723</v>
      </c>
      <c r="M160" s="75" t="s">
        <v>20</v>
      </c>
      <c r="N160" s="399"/>
    </row>
    <row r="161" spans="1:46" ht="15.65" hidden="1" customHeight="1" x14ac:dyDescent="0.35">
      <c r="A161" s="419">
        <v>22.607013999999999</v>
      </c>
      <c r="B161" s="419"/>
      <c r="C161" s="392" t="s">
        <v>1726</v>
      </c>
      <c r="D161" s="372" t="s">
        <v>18</v>
      </c>
      <c r="E161" s="371" t="s">
        <v>1649</v>
      </c>
      <c r="F161" s="75"/>
      <c r="G161" s="86">
        <v>50.05</v>
      </c>
      <c r="H161" s="394">
        <v>56.05</v>
      </c>
      <c r="I161" s="75"/>
      <c r="J161" s="393" t="s">
        <v>487</v>
      </c>
      <c r="K161" s="397">
        <v>46022</v>
      </c>
      <c r="L161" s="398" t="s">
        <v>1723</v>
      </c>
      <c r="M161" s="75" t="s">
        <v>20</v>
      </c>
      <c r="N161" s="88"/>
    </row>
    <row r="162" spans="1:46" s="89" customFormat="1" ht="15.65" hidden="1" customHeight="1" x14ac:dyDescent="0.35">
      <c r="A162" s="420" t="s">
        <v>69</v>
      </c>
      <c r="B162" s="420"/>
      <c r="C162" s="393" t="s">
        <v>1742</v>
      </c>
      <c r="D162" s="372" t="s">
        <v>18</v>
      </c>
      <c r="E162" s="371" t="s">
        <v>1649</v>
      </c>
      <c r="F162" s="75"/>
      <c r="G162" s="86">
        <v>53.05</v>
      </c>
      <c r="H162" s="86">
        <v>59.05</v>
      </c>
      <c r="I162" s="75"/>
      <c r="J162" s="393" t="s">
        <v>487</v>
      </c>
      <c r="K162" s="397">
        <v>46022</v>
      </c>
      <c r="L162" s="398" t="s">
        <v>1723</v>
      </c>
      <c r="M162" s="75" t="s">
        <v>20</v>
      </c>
      <c r="N162" s="88"/>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row>
    <row r="163" spans="1:46" s="89" customFormat="1" ht="15.65" hidden="1" customHeight="1" x14ac:dyDescent="0.35">
      <c r="A163" s="138" t="s">
        <v>613</v>
      </c>
      <c r="B163" s="138"/>
      <c r="C163" s="75" t="s">
        <v>614</v>
      </c>
      <c r="D163" s="372" t="s">
        <v>18</v>
      </c>
      <c r="E163" s="371" t="s">
        <v>1649</v>
      </c>
      <c r="F163" s="75"/>
      <c r="G163" s="86" t="s">
        <v>1743</v>
      </c>
      <c r="H163" s="394">
        <v>67.05</v>
      </c>
      <c r="I163" s="400"/>
      <c r="J163" s="393" t="s">
        <v>487</v>
      </c>
      <c r="K163" s="397">
        <v>46022</v>
      </c>
      <c r="L163" s="398" t="s">
        <v>1723</v>
      </c>
      <c r="M163" s="75" t="s">
        <v>20</v>
      </c>
      <c r="N163" s="88"/>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row>
    <row r="164" spans="1:46" ht="15.65" hidden="1" customHeight="1" x14ac:dyDescent="0.35">
      <c r="A164" s="138" t="s">
        <v>1745</v>
      </c>
      <c r="B164" s="138"/>
      <c r="C164" s="75" t="s">
        <v>1040</v>
      </c>
      <c r="D164" s="372" t="s">
        <v>18</v>
      </c>
      <c r="E164" s="371" t="s">
        <v>1649</v>
      </c>
      <c r="F164" s="75"/>
      <c r="G164" s="90">
        <v>130</v>
      </c>
      <c r="H164" s="90">
        <v>136</v>
      </c>
      <c r="I164" s="75"/>
      <c r="J164" s="393" t="s">
        <v>1778</v>
      </c>
      <c r="K164" s="397">
        <v>46022</v>
      </c>
      <c r="L164" s="398" t="s">
        <v>1723</v>
      </c>
      <c r="M164" s="75" t="s">
        <v>20</v>
      </c>
      <c r="N164" s="88"/>
    </row>
    <row r="165" spans="1:46" ht="15.65" hidden="1" customHeight="1" x14ac:dyDescent="0.35">
      <c r="A165" s="138" t="s">
        <v>839</v>
      </c>
      <c r="B165" s="138"/>
      <c r="C165" s="75" t="s">
        <v>1738</v>
      </c>
      <c r="D165" s="372" t="s">
        <v>18</v>
      </c>
      <c r="E165" s="371" t="s">
        <v>1649</v>
      </c>
      <c r="F165" s="86">
        <v>44.7</v>
      </c>
      <c r="G165" s="90">
        <v>41</v>
      </c>
      <c r="H165" s="90">
        <v>47</v>
      </c>
      <c r="I165" s="75"/>
      <c r="J165" s="75" t="s">
        <v>487</v>
      </c>
      <c r="K165" s="87">
        <v>46022</v>
      </c>
      <c r="L165" s="75" t="s">
        <v>1727</v>
      </c>
      <c r="M165" s="75" t="s">
        <v>20</v>
      </c>
      <c r="N165" s="88"/>
    </row>
    <row r="166" spans="1:46" ht="15.65" hidden="1" customHeight="1" x14ac:dyDescent="0.35">
      <c r="A166" s="138" t="s">
        <v>1037</v>
      </c>
      <c r="B166" s="138"/>
      <c r="C166" s="75" t="s">
        <v>1038</v>
      </c>
      <c r="D166" s="372" t="s">
        <v>18</v>
      </c>
      <c r="E166" s="371" t="s">
        <v>1649</v>
      </c>
      <c r="F166" s="428">
        <v>41</v>
      </c>
      <c r="G166" s="90">
        <v>78</v>
      </c>
      <c r="H166" s="90">
        <v>84</v>
      </c>
      <c r="I166" s="75"/>
      <c r="J166" s="75" t="s">
        <v>487</v>
      </c>
      <c r="K166" s="87">
        <v>46022</v>
      </c>
      <c r="L166" s="75" t="s">
        <v>1727</v>
      </c>
      <c r="M166" s="75" t="s">
        <v>20</v>
      </c>
      <c r="N166" s="88"/>
    </row>
    <row r="167" spans="1:46" ht="15.65" hidden="1" customHeight="1" x14ac:dyDescent="0.35">
      <c r="A167" s="138" t="s">
        <v>445</v>
      </c>
      <c r="B167" s="138"/>
      <c r="C167" s="75" t="s">
        <v>1337</v>
      </c>
      <c r="D167" s="372" t="s">
        <v>18</v>
      </c>
      <c r="E167" s="371" t="s">
        <v>1649</v>
      </c>
      <c r="F167" s="428">
        <v>78</v>
      </c>
      <c r="G167" s="90">
        <v>60</v>
      </c>
      <c r="H167" s="90">
        <v>66</v>
      </c>
      <c r="I167" s="75"/>
      <c r="J167" s="75" t="s">
        <v>487</v>
      </c>
      <c r="K167" s="348" t="s">
        <v>1763</v>
      </c>
      <c r="L167" s="75" t="s">
        <v>1727</v>
      </c>
      <c r="M167" s="88" t="s">
        <v>100</v>
      </c>
      <c r="N167" s="88" t="s">
        <v>1764</v>
      </c>
    </row>
    <row r="168" spans="1:46" ht="15.65" hidden="1" customHeight="1" x14ac:dyDescent="0.35">
      <c r="A168" s="138" t="s">
        <v>1766</v>
      </c>
      <c r="B168" s="138"/>
      <c r="C168" s="75" t="s">
        <v>1765</v>
      </c>
      <c r="D168" s="372" t="s">
        <v>18</v>
      </c>
      <c r="E168" s="371" t="s">
        <v>1649</v>
      </c>
      <c r="F168" s="75"/>
      <c r="G168" s="90">
        <v>46</v>
      </c>
      <c r="H168" s="90">
        <v>52</v>
      </c>
      <c r="I168" s="75"/>
      <c r="J168" s="75" t="s">
        <v>487</v>
      </c>
      <c r="K168" s="397">
        <v>46022</v>
      </c>
      <c r="L168" s="398" t="s">
        <v>1723</v>
      </c>
      <c r="M168" s="75" t="s">
        <v>20</v>
      </c>
      <c r="N168" s="88"/>
    </row>
    <row r="169" spans="1:46" ht="15.65" hidden="1" customHeight="1" x14ac:dyDescent="0.35">
      <c r="A169" s="138" t="s">
        <v>390</v>
      </c>
      <c r="B169" s="138"/>
      <c r="C169" s="75" t="s">
        <v>1770</v>
      </c>
      <c r="D169" s="372" t="s">
        <v>18</v>
      </c>
      <c r="E169" s="371" t="s">
        <v>1649</v>
      </c>
      <c r="F169" s="75"/>
      <c r="G169" s="86">
        <v>34.049999999999997</v>
      </c>
      <c r="H169" s="86">
        <v>40.049999999999997</v>
      </c>
      <c r="I169" s="75"/>
      <c r="J169" s="75" t="s">
        <v>487</v>
      </c>
      <c r="K169" s="87" t="s">
        <v>1769</v>
      </c>
      <c r="L169" s="430" t="s">
        <v>1767</v>
      </c>
      <c r="M169" s="75" t="s">
        <v>20</v>
      </c>
      <c r="N169" s="88"/>
    </row>
    <row r="170" spans="1:46" ht="15.65" hidden="1" customHeight="1" x14ac:dyDescent="0.35">
      <c r="A170" s="138" t="s">
        <v>390</v>
      </c>
      <c r="B170" s="138"/>
      <c r="C170" s="75" t="s">
        <v>1770</v>
      </c>
      <c r="D170" s="372" t="s">
        <v>18</v>
      </c>
      <c r="E170" s="371" t="s">
        <v>1649</v>
      </c>
      <c r="F170" s="75"/>
      <c r="G170" s="90">
        <v>29</v>
      </c>
      <c r="H170" s="90">
        <v>33</v>
      </c>
      <c r="I170" s="75"/>
      <c r="J170" s="75" t="s">
        <v>487</v>
      </c>
      <c r="K170" s="87" t="s">
        <v>1769</v>
      </c>
      <c r="L170" s="430" t="s">
        <v>1768</v>
      </c>
      <c r="M170" s="75" t="s">
        <v>20</v>
      </c>
      <c r="N170" s="88"/>
    </row>
    <row r="171" spans="1:46" s="89" customFormat="1" ht="15.65" hidden="1" customHeight="1" x14ac:dyDescent="0.35">
      <c r="A171" s="138" t="s">
        <v>76</v>
      </c>
      <c r="B171" s="138"/>
      <c r="C171" s="429" t="s">
        <v>1771</v>
      </c>
      <c r="D171" s="372" t="s">
        <v>18</v>
      </c>
      <c r="E171" s="371" t="s">
        <v>1649</v>
      </c>
      <c r="F171" s="75"/>
      <c r="G171" s="90">
        <v>60</v>
      </c>
      <c r="H171" s="90">
        <v>66</v>
      </c>
      <c r="I171" s="75"/>
      <c r="J171" s="75" t="s">
        <v>1772</v>
      </c>
      <c r="K171" s="87">
        <v>45930</v>
      </c>
      <c r="L171" s="75" t="s">
        <v>1727</v>
      </c>
      <c r="M171" s="75" t="s">
        <v>100</v>
      </c>
      <c r="N171" s="88" t="s">
        <v>1773</v>
      </c>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row>
    <row r="172" spans="1:46" s="89" customFormat="1" ht="15.65" hidden="1" customHeight="1" x14ac:dyDescent="0.35">
      <c r="A172" s="138" t="s">
        <v>1774</v>
      </c>
      <c r="B172" s="138"/>
      <c r="C172" s="75" t="s">
        <v>1775</v>
      </c>
      <c r="D172" s="372" t="s">
        <v>18</v>
      </c>
      <c r="E172" s="371" t="s">
        <v>1649</v>
      </c>
      <c r="F172" s="75"/>
      <c r="G172" s="90">
        <v>116</v>
      </c>
      <c r="H172" s="90">
        <v>122</v>
      </c>
      <c r="I172" s="75"/>
      <c r="J172" s="393" t="s">
        <v>487</v>
      </c>
      <c r="K172" s="397">
        <v>46022</v>
      </c>
      <c r="L172" s="398" t="s">
        <v>1723</v>
      </c>
      <c r="M172" s="75" t="s">
        <v>20</v>
      </c>
      <c r="N172" s="88"/>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row>
    <row r="173" spans="1:46" s="89" customFormat="1" ht="15.65" hidden="1" customHeight="1" x14ac:dyDescent="0.35">
      <c r="A173" s="138" t="s">
        <v>1235</v>
      </c>
      <c r="B173" s="138"/>
      <c r="C173" s="75" t="s">
        <v>1776</v>
      </c>
      <c r="D173" s="372" t="s">
        <v>18</v>
      </c>
      <c r="E173" s="371" t="s">
        <v>1649</v>
      </c>
      <c r="F173" s="75"/>
      <c r="G173" s="90">
        <v>106</v>
      </c>
      <c r="H173" s="90">
        <v>112</v>
      </c>
      <c r="I173" s="75"/>
      <c r="J173" s="393" t="s">
        <v>487</v>
      </c>
      <c r="K173" s="397">
        <v>46022</v>
      </c>
      <c r="L173" s="398" t="s">
        <v>1723</v>
      </c>
      <c r="M173" s="75" t="s">
        <v>20</v>
      </c>
      <c r="N173" s="88"/>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row>
    <row r="174" spans="1:46" ht="33" hidden="1" customHeight="1" x14ac:dyDescent="0.35">
      <c r="A174" s="138" t="s">
        <v>172</v>
      </c>
      <c r="B174" s="138"/>
      <c r="C174" s="75" t="s">
        <v>1777</v>
      </c>
      <c r="D174" s="372" t="s">
        <v>18</v>
      </c>
      <c r="E174" s="371" t="s">
        <v>1649</v>
      </c>
      <c r="F174" s="75"/>
      <c r="G174" s="90">
        <v>102</v>
      </c>
      <c r="H174" s="90">
        <v>108</v>
      </c>
      <c r="I174" s="75"/>
      <c r="J174" s="393" t="s">
        <v>1779</v>
      </c>
      <c r="K174" s="397">
        <v>46022</v>
      </c>
      <c r="L174" s="398" t="s">
        <v>1723</v>
      </c>
      <c r="M174" s="75" t="s">
        <v>20</v>
      </c>
      <c r="N174" s="88"/>
    </row>
    <row r="175" spans="1:46" ht="15.65" hidden="1" customHeight="1" x14ac:dyDescent="0.35">
      <c r="A175" s="138" t="s">
        <v>1785</v>
      </c>
      <c r="B175" s="138"/>
      <c r="C175" s="75" t="s">
        <v>1786</v>
      </c>
      <c r="D175" s="372" t="s">
        <v>18</v>
      </c>
      <c r="E175" s="371" t="s">
        <v>1649</v>
      </c>
      <c r="F175" s="428">
        <v>78</v>
      </c>
      <c r="G175" s="90">
        <v>155</v>
      </c>
      <c r="H175" s="90">
        <v>161</v>
      </c>
      <c r="I175" s="75"/>
      <c r="J175" s="75" t="s">
        <v>487</v>
      </c>
      <c r="K175" s="397">
        <v>46022</v>
      </c>
      <c r="L175" s="398" t="s">
        <v>1723</v>
      </c>
      <c r="M175" s="88" t="s">
        <v>100</v>
      </c>
      <c r="N175" s="88" t="s">
        <v>1764</v>
      </c>
    </row>
    <row r="176" spans="1:46" ht="15.65" hidden="1" customHeight="1" x14ac:dyDescent="0.35">
      <c r="A176" s="75">
        <v>48.067171000000002</v>
      </c>
      <c r="B176" s="75"/>
      <c r="C176" s="75" t="s">
        <v>339</v>
      </c>
      <c r="D176" s="372" t="s">
        <v>18</v>
      </c>
      <c r="E176" s="371" t="s">
        <v>1649</v>
      </c>
      <c r="F176" s="75"/>
      <c r="G176" s="86">
        <v>50</v>
      </c>
      <c r="H176" s="86">
        <v>56</v>
      </c>
      <c r="I176" s="75"/>
      <c r="J176" s="393" t="s">
        <v>487</v>
      </c>
      <c r="K176" s="397">
        <v>46022</v>
      </c>
      <c r="L176" s="398" t="s">
        <v>1723</v>
      </c>
      <c r="M176" s="75" t="s">
        <v>20</v>
      </c>
      <c r="N176" s="88" t="s">
        <v>1764</v>
      </c>
    </row>
    <row r="177" spans="1:46" ht="15.65" hidden="1" customHeight="1" x14ac:dyDescent="0.35">
      <c r="A177" s="75" t="s">
        <v>759</v>
      </c>
      <c r="B177" s="75"/>
      <c r="C177" s="75" t="s">
        <v>760</v>
      </c>
      <c r="D177" s="372" t="s">
        <v>18</v>
      </c>
      <c r="E177" s="371" t="s">
        <v>1649</v>
      </c>
      <c r="F177" s="75"/>
      <c r="G177" s="86">
        <v>40</v>
      </c>
      <c r="H177" s="86">
        <v>46</v>
      </c>
      <c r="I177" s="75"/>
      <c r="J177" s="393" t="s">
        <v>487</v>
      </c>
      <c r="K177" s="397">
        <v>46022</v>
      </c>
      <c r="L177" s="398" t="s">
        <v>1723</v>
      </c>
      <c r="M177" s="75" t="s">
        <v>20</v>
      </c>
      <c r="N177" s="88" t="s">
        <v>1764</v>
      </c>
    </row>
    <row r="178" spans="1:46" s="89" customFormat="1" ht="15.65" hidden="1" customHeight="1" x14ac:dyDescent="0.35">
      <c r="A178" s="75" t="s">
        <v>1789</v>
      </c>
      <c r="B178" s="75"/>
      <c r="C178" s="75" t="s">
        <v>1790</v>
      </c>
      <c r="D178" s="372" t="s">
        <v>18</v>
      </c>
      <c r="E178" s="371" t="s">
        <v>1649</v>
      </c>
      <c r="F178" s="75"/>
      <c r="G178" s="86">
        <v>301</v>
      </c>
      <c r="H178" s="86">
        <v>307</v>
      </c>
      <c r="I178" s="75"/>
      <c r="J178" s="393" t="s">
        <v>487</v>
      </c>
      <c r="K178" s="397">
        <v>46022</v>
      </c>
      <c r="L178" s="398" t="s">
        <v>1723</v>
      </c>
      <c r="M178" s="75" t="s">
        <v>20</v>
      </c>
      <c r="N178" s="88" t="s">
        <v>1764</v>
      </c>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row>
    <row r="179" spans="1:46" s="89" customFormat="1" ht="15.65" hidden="1" customHeight="1" x14ac:dyDescent="0.35">
      <c r="A179" s="75" t="s">
        <v>1789</v>
      </c>
      <c r="B179" s="75"/>
      <c r="C179" s="75" t="s">
        <v>1790</v>
      </c>
      <c r="D179" s="372" t="s">
        <v>18</v>
      </c>
      <c r="E179" s="371" t="s">
        <v>1649</v>
      </c>
      <c r="F179" s="75"/>
      <c r="G179" s="86">
        <v>301</v>
      </c>
      <c r="H179" s="86">
        <v>307</v>
      </c>
      <c r="I179" s="75"/>
      <c r="J179" s="393" t="s">
        <v>487</v>
      </c>
      <c r="K179" s="397">
        <v>46022</v>
      </c>
      <c r="L179" s="398" t="s">
        <v>1723</v>
      </c>
      <c r="M179" s="75" t="s">
        <v>20</v>
      </c>
      <c r="N179" s="88" t="s">
        <v>1764</v>
      </c>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row>
    <row r="180" spans="1:46" ht="12" hidden="1" x14ac:dyDescent="0.35">
      <c r="A180" s="411" t="s">
        <v>1791</v>
      </c>
      <c r="B180" s="411"/>
      <c r="C180" s="375" t="s">
        <v>1792</v>
      </c>
      <c r="D180" s="372" t="s">
        <v>18</v>
      </c>
      <c r="E180" s="371" t="s">
        <v>1649</v>
      </c>
      <c r="F180" s="75"/>
      <c r="G180" s="86">
        <v>30</v>
      </c>
      <c r="H180" s="86">
        <v>36</v>
      </c>
      <c r="I180" s="75"/>
      <c r="J180" s="393" t="s">
        <v>487</v>
      </c>
      <c r="K180" s="397">
        <v>46022</v>
      </c>
      <c r="L180" s="398" t="s">
        <v>1723</v>
      </c>
      <c r="M180" s="75" t="s">
        <v>20</v>
      </c>
      <c r="N180" s="88" t="s">
        <v>1764</v>
      </c>
    </row>
    <row r="181" spans="1:46" s="89" customFormat="1" ht="24" hidden="1" x14ac:dyDescent="0.35">
      <c r="A181" s="411" t="s">
        <v>51</v>
      </c>
      <c r="B181" s="411"/>
      <c r="C181" s="375" t="s">
        <v>52</v>
      </c>
      <c r="D181" s="372" t="s">
        <v>18</v>
      </c>
      <c r="E181" s="371" t="s">
        <v>1649</v>
      </c>
      <c r="F181" s="75"/>
      <c r="G181" s="86"/>
      <c r="H181" s="86"/>
      <c r="I181" s="75">
        <v>18</v>
      </c>
      <c r="J181" s="393" t="s">
        <v>487</v>
      </c>
      <c r="K181" s="397">
        <v>46022</v>
      </c>
      <c r="L181" s="438" t="s">
        <v>1793</v>
      </c>
      <c r="M181" s="75" t="s">
        <v>20</v>
      </c>
      <c r="N181" s="439" t="s">
        <v>1795</v>
      </c>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row>
    <row r="182" spans="1:46" s="89" customFormat="1" ht="15.65" hidden="1" customHeight="1" x14ac:dyDescent="0.35">
      <c r="A182" s="411" t="s">
        <v>1796</v>
      </c>
      <c r="B182" s="411"/>
      <c r="C182" s="375" t="s">
        <v>1797</v>
      </c>
      <c r="D182" s="372" t="s">
        <v>18</v>
      </c>
      <c r="E182" s="371" t="s">
        <v>1649</v>
      </c>
      <c r="F182" s="75"/>
      <c r="G182" s="86">
        <v>31</v>
      </c>
      <c r="H182" s="86">
        <v>37</v>
      </c>
      <c r="I182" s="75"/>
      <c r="J182" s="393" t="s">
        <v>487</v>
      </c>
      <c r="K182" s="397">
        <v>46022</v>
      </c>
      <c r="L182" s="438" t="s">
        <v>1723</v>
      </c>
      <c r="M182" s="75" t="s">
        <v>20</v>
      </c>
      <c r="N182" s="439"/>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row>
    <row r="183" spans="1:46" s="89" customFormat="1" ht="12" hidden="1" x14ac:dyDescent="0.35">
      <c r="A183" s="138" t="s">
        <v>1798</v>
      </c>
      <c r="B183" s="411"/>
      <c r="C183" s="375" t="s">
        <v>1801</v>
      </c>
      <c r="D183" s="372" t="s">
        <v>18</v>
      </c>
      <c r="E183" s="371" t="s">
        <v>1649</v>
      </c>
      <c r="F183" s="75"/>
      <c r="G183" s="86">
        <v>99</v>
      </c>
      <c r="H183" s="86">
        <v>105</v>
      </c>
      <c r="I183" s="75"/>
      <c r="J183" s="393" t="s">
        <v>487</v>
      </c>
      <c r="K183" s="397">
        <v>46022</v>
      </c>
      <c r="L183" s="438" t="s">
        <v>1723</v>
      </c>
      <c r="M183" s="75" t="s">
        <v>20</v>
      </c>
      <c r="N183" s="439" t="s">
        <v>1799</v>
      </c>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row>
    <row r="184" spans="1:46" ht="54" hidden="1" customHeight="1" x14ac:dyDescent="0.35">
      <c r="A184" s="138" t="s">
        <v>1800</v>
      </c>
      <c r="B184" s="138"/>
      <c r="C184" s="75" t="s">
        <v>1802</v>
      </c>
      <c r="D184" s="372" t="s">
        <v>18</v>
      </c>
      <c r="E184" s="371" t="s">
        <v>1649</v>
      </c>
      <c r="F184" s="75"/>
      <c r="G184" s="86"/>
      <c r="H184" s="86">
        <v>56</v>
      </c>
      <c r="I184" s="75"/>
      <c r="J184" s="393" t="s">
        <v>487</v>
      </c>
      <c r="K184" s="397">
        <v>46022</v>
      </c>
      <c r="L184" s="438" t="s">
        <v>1723</v>
      </c>
      <c r="M184" s="75" t="s">
        <v>20</v>
      </c>
      <c r="N184" s="439" t="s">
        <v>1803</v>
      </c>
    </row>
    <row r="185" spans="1:46" ht="15" hidden="1" thickBot="1" x14ac:dyDescent="0.4">
      <c r="A185" s="138" t="s">
        <v>997</v>
      </c>
      <c r="B185" s="138"/>
      <c r="C185" s="75" t="s">
        <v>998</v>
      </c>
      <c r="D185" s="372" t="s">
        <v>18</v>
      </c>
      <c r="E185" s="371" t="s">
        <v>1649</v>
      </c>
      <c r="F185" s="75"/>
      <c r="G185" s="587">
        <v>40.5</v>
      </c>
      <c r="H185" s="587">
        <v>46.5</v>
      </c>
      <c r="I185" s="75"/>
      <c r="J185" s="393" t="s">
        <v>487</v>
      </c>
      <c r="K185" s="397">
        <v>46022</v>
      </c>
      <c r="L185" s="438" t="s">
        <v>1723</v>
      </c>
      <c r="M185" s="75" t="s">
        <v>20</v>
      </c>
      <c r="N185" s="439" t="s">
        <v>1804</v>
      </c>
    </row>
    <row r="186" spans="1:46" ht="14.5" hidden="1" x14ac:dyDescent="0.35">
      <c r="A186" s="138" t="s">
        <v>588</v>
      </c>
      <c r="B186" s="138"/>
      <c r="C186" s="75" t="s">
        <v>589</v>
      </c>
      <c r="D186" s="389" t="s">
        <v>18</v>
      </c>
      <c r="E186" s="588" t="s">
        <v>1649</v>
      </c>
      <c r="F186" s="76"/>
      <c r="G186" s="589">
        <v>120</v>
      </c>
      <c r="H186" s="589">
        <v>126</v>
      </c>
      <c r="I186" s="75"/>
      <c r="J186" s="393" t="s">
        <v>487</v>
      </c>
      <c r="K186" s="397">
        <v>46022</v>
      </c>
      <c r="L186" s="438" t="s">
        <v>1723</v>
      </c>
      <c r="M186" s="75" t="s">
        <v>20</v>
      </c>
      <c r="N186" s="439" t="s">
        <v>1805</v>
      </c>
    </row>
    <row r="187" spans="1:46" ht="14.5" hidden="1" x14ac:dyDescent="0.35">
      <c r="A187" s="138" t="s">
        <v>1806</v>
      </c>
      <c r="B187" s="138"/>
      <c r="C187" s="75" t="s">
        <v>1807</v>
      </c>
      <c r="D187" s="372" t="s">
        <v>18</v>
      </c>
      <c r="E187" s="371" t="s">
        <v>1649</v>
      </c>
      <c r="F187" s="75"/>
      <c r="G187" s="591">
        <v>31</v>
      </c>
      <c r="H187" s="591">
        <v>37</v>
      </c>
      <c r="I187" s="75"/>
      <c r="J187" s="393" t="s">
        <v>487</v>
      </c>
      <c r="K187" s="397">
        <v>46022</v>
      </c>
      <c r="L187" s="438" t="s">
        <v>1723</v>
      </c>
      <c r="M187" s="75" t="s">
        <v>100</v>
      </c>
      <c r="N187" s="439"/>
    </row>
    <row r="188" spans="1:46" ht="14.5" hidden="1" x14ac:dyDescent="0.35">
      <c r="A188" s="138" t="s">
        <v>694</v>
      </c>
      <c r="B188" s="138"/>
      <c r="C188" s="75" t="s">
        <v>1811</v>
      </c>
      <c r="D188" s="372" t="s">
        <v>18</v>
      </c>
      <c r="E188" s="371" t="s">
        <v>1649</v>
      </c>
      <c r="F188" s="75"/>
      <c r="G188" s="591">
        <v>25</v>
      </c>
      <c r="H188" s="591">
        <v>31</v>
      </c>
      <c r="I188" s="75"/>
      <c r="J188" s="393" t="s">
        <v>487</v>
      </c>
      <c r="K188" s="397">
        <v>46022</v>
      </c>
      <c r="L188" s="438" t="s">
        <v>1723</v>
      </c>
      <c r="M188" s="75" t="s">
        <v>100</v>
      </c>
      <c r="N188" s="439"/>
    </row>
    <row r="189" spans="1:46" ht="16" hidden="1" x14ac:dyDescent="0.35">
      <c r="A189" s="138" t="s">
        <v>1530</v>
      </c>
      <c r="B189" s="138"/>
      <c r="C189" s="75" t="s">
        <v>1812</v>
      </c>
      <c r="D189" s="372" t="s">
        <v>18</v>
      </c>
      <c r="E189" s="371" t="s">
        <v>1649</v>
      </c>
      <c r="F189" s="75"/>
      <c r="G189" s="591">
        <v>40</v>
      </c>
      <c r="H189" s="591">
        <v>46</v>
      </c>
      <c r="I189" s="75"/>
      <c r="J189" s="393" t="s">
        <v>487</v>
      </c>
      <c r="K189" s="397">
        <v>46022</v>
      </c>
      <c r="L189" s="592" t="s">
        <v>1814</v>
      </c>
      <c r="M189" s="75" t="s">
        <v>100</v>
      </c>
      <c r="N189" s="439" t="s">
        <v>1813</v>
      </c>
    </row>
    <row r="190" spans="1:46" ht="16" hidden="1" x14ac:dyDescent="0.4">
      <c r="A190" s="138" t="s">
        <v>1530</v>
      </c>
      <c r="B190" s="138"/>
      <c r="C190" s="75" t="s">
        <v>1812</v>
      </c>
      <c r="D190" s="372" t="s">
        <v>18</v>
      </c>
      <c r="E190" s="371" t="s">
        <v>1649</v>
      </c>
      <c r="F190" s="75"/>
      <c r="G190" s="591">
        <v>30</v>
      </c>
      <c r="H190" s="591">
        <v>36</v>
      </c>
      <c r="I190" s="75"/>
      <c r="J190" s="393" t="s">
        <v>487</v>
      </c>
      <c r="K190" s="397">
        <v>45838</v>
      </c>
      <c r="L190" s="592" t="s">
        <v>1814</v>
      </c>
      <c r="M190" s="75" t="s">
        <v>100</v>
      </c>
      <c r="N190" s="593" t="s">
        <v>1815</v>
      </c>
    </row>
    <row r="191" spans="1:46" ht="14.5" hidden="1" x14ac:dyDescent="0.35">
      <c r="A191" s="138" t="s">
        <v>1817</v>
      </c>
      <c r="B191" s="138"/>
      <c r="C191" s="75" t="s">
        <v>1816</v>
      </c>
      <c r="D191" s="372" t="s">
        <v>18</v>
      </c>
      <c r="E191" s="371" t="s">
        <v>1649</v>
      </c>
      <c r="F191" s="75"/>
      <c r="G191" s="591">
        <v>40.049999999999997</v>
      </c>
      <c r="H191" s="591">
        <v>46.05</v>
      </c>
      <c r="I191" s="75"/>
      <c r="J191" s="393" t="s">
        <v>487</v>
      </c>
      <c r="K191" s="397">
        <v>46022</v>
      </c>
      <c r="L191" s="438" t="s">
        <v>1723</v>
      </c>
      <c r="M191" s="75" t="s">
        <v>100</v>
      </c>
      <c r="N191" s="88" t="s">
        <v>1818</v>
      </c>
    </row>
    <row r="192" spans="1:46" ht="14.5" hidden="1" x14ac:dyDescent="0.35">
      <c r="A192" s="138" t="s">
        <v>1820</v>
      </c>
      <c r="B192" s="138"/>
      <c r="C192" s="75" t="s">
        <v>1819</v>
      </c>
      <c r="D192" s="372" t="s">
        <v>18</v>
      </c>
      <c r="E192" s="371" t="s">
        <v>1649</v>
      </c>
      <c r="F192" s="75"/>
      <c r="G192" s="591"/>
      <c r="H192" s="591"/>
      <c r="I192" s="590">
        <v>27.5</v>
      </c>
      <c r="J192" s="393" t="s">
        <v>487</v>
      </c>
      <c r="K192" s="397">
        <v>45838</v>
      </c>
      <c r="L192" s="438" t="s">
        <v>1723</v>
      </c>
      <c r="M192" s="75" t="s">
        <v>100</v>
      </c>
      <c r="N192" s="88" t="s">
        <v>1821</v>
      </c>
    </row>
    <row r="193" spans="1:14" ht="14.5" hidden="1" x14ac:dyDescent="0.35">
      <c r="A193" s="138" t="s">
        <v>1822</v>
      </c>
      <c r="B193" s="138"/>
      <c r="C193" s="75" t="s">
        <v>1823</v>
      </c>
      <c r="D193" s="372" t="s">
        <v>18</v>
      </c>
      <c r="E193" s="371" t="s">
        <v>1649</v>
      </c>
      <c r="F193" s="75"/>
      <c r="G193" s="591">
        <v>40.049999999999997</v>
      </c>
      <c r="H193" s="591">
        <v>46.05</v>
      </c>
      <c r="I193" s="590"/>
      <c r="J193" s="393" t="s">
        <v>487</v>
      </c>
      <c r="K193" s="397">
        <v>46022</v>
      </c>
      <c r="L193" s="438" t="s">
        <v>1723</v>
      </c>
      <c r="M193" s="75" t="s">
        <v>100</v>
      </c>
      <c r="N193" s="88" t="s">
        <v>1824</v>
      </c>
    </row>
    <row r="194" spans="1:14" ht="14.5" hidden="1" x14ac:dyDescent="0.35">
      <c r="A194" s="138" t="s">
        <v>1825</v>
      </c>
      <c r="B194" s="138"/>
      <c r="C194" s="75" t="s">
        <v>1826</v>
      </c>
      <c r="D194" s="372" t="s">
        <v>18</v>
      </c>
      <c r="E194" s="371" t="s">
        <v>1649</v>
      </c>
      <c r="F194" s="75"/>
      <c r="G194" s="591">
        <v>50.8</v>
      </c>
      <c r="H194" s="591">
        <v>56.8</v>
      </c>
      <c r="I194" s="590"/>
      <c r="J194" s="393" t="s">
        <v>487</v>
      </c>
      <c r="K194" s="397">
        <v>45838</v>
      </c>
      <c r="L194" s="438" t="s">
        <v>1723</v>
      </c>
      <c r="M194" s="75"/>
      <c r="N194" s="439" t="s">
        <v>1805</v>
      </c>
    </row>
    <row r="195" spans="1:14" ht="14.5" hidden="1" x14ac:dyDescent="0.35">
      <c r="A195" s="138" t="s">
        <v>1231</v>
      </c>
      <c r="B195" s="138"/>
      <c r="C195" s="75" t="s">
        <v>1827</v>
      </c>
      <c r="D195" s="372" t="s">
        <v>18</v>
      </c>
      <c r="E195" s="371" t="s">
        <v>1649</v>
      </c>
      <c r="F195" s="75"/>
      <c r="G195" s="591">
        <v>48</v>
      </c>
      <c r="H195" s="591">
        <v>54</v>
      </c>
      <c r="I195" s="590"/>
      <c r="J195" s="393" t="s">
        <v>487</v>
      </c>
      <c r="K195" s="397">
        <v>45838</v>
      </c>
      <c r="L195" s="438" t="s">
        <v>1723</v>
      </c>
      <c r="M195" s="75"/>
      <c r="N195" s="88" t="s">
        <v>1818</v>
      </c>
    </row>
    <row r="196" spans="1:14" ht="14.5" hidden="1" x14ac:dyDescent="0.35">
      <c r="A196" s="138" t="s">
        <v>1828</v>
      </c>
      <c r="B196" s="138"/>
      <c r="C196" s="75" t="s">
        <v>1418</v>
      </c>
      <c r="D196" s="372" t="s">
        <v>1859</v>
      </c>
      <c r="E196" s="371" t="s">
        <v>1649</v>
      </c>
      <c r="F196" s="75"/>
      <c r="G196" s="591">
        <v>63.05</v>
      </c>
      <c r="H196" s="591">
        <v>69.05</v>
      </c>
      <c r="I196" s="590"/>
      <c r="J196" s="393" t="s">
        <v>487</v>
      </c>
      <c r="K196" s="397">
        <v>46295</v>
      </c>
      <c r="L196" s="438" t="s">
        <v>1723</v>
      </c>
      <c r="M196" s="75"/>
      <c r="N196" s="439" t="s">
        <v>1829</v>
      </c>
    </row>
    <row r="197" spans="1:14" ht="14.5" hidden="1" x14ac:dyDescent="0.35">
      <c r="A197" s="138" t="s">
        <v>1830</v>
      </c>
      <c r="B197" s="138"/>
      <c r="C197" s="75" t="s">
        <v>1831</v>
      </c>
      <c r="D197" s="372" t="s">
        <v>18</v>
      </c>
      <c r="E197" s="371" t="s">
        <v>1649</v>
      </c>
      <c r="F197" s="75"/>
      <c r="G197" s="591">
        <v>35.049999999999997</v>
      </c>
      <c r="H197" s="591">
        <v>41.05</v>
      </c>
      <c r="I197" s="590"/>
      <c r="J197" s="393" t="s">
        <v>487</v>
      </c>
      <c r="K197" s="397">
        <v>46295</v>
      </c>
      <c r="L197" s="438" t="s">
        <v>1723</v>
      </c>
      <c r="M197" s="75"/>
      <c r="N197" s="439" t="s">
        <v>1832</v>
      </c>
    </row>
    <row r="198" spans="1:14" ht="14.5" hidden="1" x14ac:dyDescent="0.35">
      <c r="A198" s="138" t="s">
        <v>1830</v>
      </c>
      <c r="B198" s="138"/>
      <c r="C198" s="75" t="s">
        <v>1831</v>
      </c>
      <c r="D198" s="372" t="s">
        <v>1859</v>
      </c>
      <c r="E198" s="371" t="s">
        <v>1649</v>
      </c>
      <c r="F198" s="75"/>
      <c r="G198" s="591">
        <v>35.049999999999997</v>
      </c>
      <c r="H198" s="591">
        <v>41.05</v>
      </c>
      <c r="I198" s="590"/>
      <c r="J198" s="393" t="s">
        <v>487</v>
      </c>
      <c r="K198" s="397">
        <v>46295</v>
      </c>
      <c r="L198" s="438" t="s">
        <v>1723</v>
      </c>
      <c r="M198" s="75"/>
      <c r="N198" s="439" t="s">
        <v>1832</v>
      </c>
    </row>
    <row r="199" spans="1:14" ht="14.5" hidden="1" x14ac:dyDescent="0.35">
      <c r="A199" s="138" t="s">
        <v>1833</v>
      </c>
      <c r="B199" s="138"/>
      <c r="C199" s="597" t="s">
        <v>1834</v>
      </c>
      <c r="D199" s="372" t="s">
        <v>18</v>
      </c>
      <c r="E199" s="371" t="s">
        <v>1649</v>
      </c>
      <c r="F199" s="75"/>
      <c r="G199" s="591">
        <v>23</v>
      </c>
      <c r="H199" s="591">
        <v>29</v>
      </c>
      <c r="I199" s="590"/>
      <c r="J199" s="393" t="s">
        <v>487</v>
      </c>
      <c r="K199" s="397">
        <v>46022</v>
      </c>
      <c r="L199" s="438" t="s">
        <v>1723</v>
      </c>
      <c r="M199" s="75"/>
      <c r="N199" s="439" t="s">
        <v>1835</v>
      </c>
    </row>
    <row r="200" spans="1:14" ht="14.5" hidden="1" x14ac:dyDescent="0.35">
      <c r="A200" s="595">
        <v>63.997149999999998</v>
      </c>
      <c r="B200" s="138"/>
      <c r="C200" s="597" t="s">
        <v>1836</v>
      </c>
      <c r="D200" s="372" t="s">
        <v>18</v>
      </c>
      <c r="E200" s="371" t="s">
        <v>1649</v>
      </c>
      <c r="F200" s="75"/>
      <c r="G200" s="591">
        <v>57</v>
      </c>
      <c r="H200" s="591">
        <v>63</v>
      </c>
      <c r="I200" s="590"/>
      <c r="J200" s="393" t="s">
        <v>487</v>
      </c>
      <c r="K200" s="397">
        <v>46022</v>
      </c>
      <c r="L200" s="438" t="s">
        <v>1723</v>
      </c>
      <c r="M200" s="75"/>
      <c r="N200" s="439" t="s">
        <v>1837</v>
      </c>
    </row>
    <row r="201" spans="1:14" ht="14.5" hidden="1" x14ac:dyDescent="0.35">
      <c r="A201" s="595">
        <v>47.01</v>
      </c>
      <c r="B201" s="138"/>
      <c r="C201" s="597" t="s">
        <v>1838</v>
      </c>
      <c r="D201" s="372" t="s">
        <v>18</v>
      </c>
      <c r="E201" s="371" t="s">
        <v>1649</v>
      </c>
      <c r="F201" s="75"/>
      <c r="G201" s="591">
        <v>99.05</v>
      </c>
      <c r="H201" s="591">
        <v>105.05</v>
      </c>
      <c r="I201" s="590"/>
      <c r="J201" s="393" t="s">
        <v>487</v>
      </c>
      <c r="K201" s="397">
        <v>46022</v>
      </c>
      <c r="L201" s="438" t="s">
        <v>1723</v>
      </c>
      <c r="M201" s="75"/>
      <c r="N201" s="439" t="s">
        <v>1837</v>
      </c>
    </row>
    <row r="202" spans="1:14" ht="14.5" hidden="1" x14ac:dyDescent="0.35">
      <c r="A202" s="595">
        <v>22.507048000000001</v>
      </c>
      <c r="B202" s="138"/>
      <c r="C202" s="597" t="s">
        <v>1839</v>
      </c>
      <c r="D202" s="372" t="s">
        <v>18</v>
      </c>
      <c r="E202" s="371" t="s">
        <v>1649</v>
      </c>
      <c r="F202" s="75"/>
      <c r="G202" s="591">
        <v>107.05</v>
      </c>
      <c r="H202" s="591">
        <v>113.05</v>
      </c>
      <c r="I202" s="590"/>
      <c r="J202" s="393" t="s">
        <v>487</v>
      </c>
      <c r="K202" s="397">
        <v>46022</v>
      </c>
      <c r="L202" s="438" t="s">
        <v>1723</v>
      </c>
      <c r="M202" s="75"/>
      <c r="N202" s="645" t="s">
        <v>1837</v>
      </c>
    </row>
    <row r="203" spans="1:14" ht="14.5" hidden="1" x14ac:dyDescent="0.35">
      <c r="A203" s="595">
        <v>35.01</v>
      </c>
      <c r="B203" s="138"/>
      <c r="C203" s="597" t="s">
        <v>1840</v>
      </c>
      <c r="D203" s="372" t="s">
        <v>18</v>
      </c>
      <c r="E203" s="371" t="s">
        <v>1649</v>
      </c>
      <c r="F203" s="75"/>
      <c r="G203" s="591">
        <v>173</v>
      </c>
      <c r="H203" s="591">
        <v>179</v>
      </c>
      <c r="I203" s="590"/>
      <c r="J203" s="393" t="s">
        <v>487</v>
      </c>
      <c r="K203" s="397">
        <v>46022</v>
      </c>
      <c r="L203" s="438" t="s">
        <v>1723</v>
      </c>
      <c r="M203" s="75"/>
      <c r="N203" s="645" t="s">
        <v>1837</v>
      </c>
    </row>
    <row r="204" spans="1:14" ht="14.5" hidden="1" x14ac:dyDescent="0.35">
      <c r="A204" s="595">
        <v>35.01</v>
      </c>
      <c r="B204" s="138"/>
      <c r="C204" s="597" t="s">
        <v>1840</v>
      </c>
      <c r="D204" s="372" t="s">
        <v>1859</v>
      </c>
      <c r="E204" s="371" t="s">
        <v>1649</v>
      </c>
      <c r="F204" s="75"/>
      <c r="G204" s="591">
        <v>173</v>
      </c>
      <c r="H204" s="591">
        <v>179</v>
      </c>
      <c r="I204" s="590"/>
      <c r="J204" s="393" t="s">
        <v>487</v>
      </c>
      <c r="K204" s="397">
        <v>46387</v>
      </c>
      <c r="L204" s="438" t="s">
        <v>1723</v>
      </c>
      <c r="M204" s="75"/>
      <c r="N204" s="645" t="s">
        <v>1837</v>
      </c>
    </row>
    <row r="205" spans="1:14" ht="32.5" hidden="1" customHeight="1" x14ac:dyDescent="0.35">
      <c r="A205" s="595">
        <v>30.04</v>
      </c>
      <c r="B205" s="138"/>
      <c r="C205" s="598" t="s">
        <v>1425</v>
      </c>
      <c r="D205" s="372" t="s">
        <v>18</v>
      </c>
      <c r="E205" s="371" t="s">
        <v>1649</v>
      </c>
      <c r="F205" s="75"/>
      <c r="G205" s="591">
        <v>161</v>
      </c>
      <c r="H205" s="591"/>
      <c r="I205" s="590"/>
      <c r="J205" s="393" t="s">
        <v>487</v>
      </c>
      <c r="K205" s="397">
        <v>46022</v>
      </c>
      <c r="L205" s="438" t="s">
        <v>1723</v>
      </c>
      <c r="M205" s="75"/>
      <c r="N205" s="645" t="s">
        <v>1851</v>
      </c>
    </row>
    <row r="206" spans="1:14" ht="14.5" hidden="1" x14ac:dyDescent="0.35">
      <c r="A206" s="595" t="s">
        <v>1852</v>
      </c>
      <c r="B206" s="138"/>
      <c r="C206" s="598" t="s">
        <v>1853</v>
      </c>
      <c r="D206" s="372" t="s">
        <v>18</v>
      </c>
      <c r="E206" s="371" t="s">
        <v>1649</v>
      </c>
      <c r="F206" s="75"/>
      <c r="G206" s="591">
        <v>23</v>
      </c>
      <c r="H206" s="591">
        <v>29</v>
      </c>
      <c r="I206" s="590"/>
      <c r="J206" s="393" t="s">
        <v>487</v>
      </c>
      <c r="K206" s="397">
        <v>46022</v>
      </c>
      <c r="L206" s="438" t="s">
        <v>1723</v>
      </c>
      <c r="M206" s="75"/>
      <c r="N206" s="645" t="s">
        <v>1854</v>
      </c>
    </row>
    <row r="207" spans="1:14" ht="14.5" hidden="1" x14ac:dyDescent="0.35">
      <c r="A207" s="595" t="s">
        <v>1852</v>
      </c>
      <c r="B207" s="138"/>
      <c r="C207" s="598" t="s">
        <v>1853</v>
      </c>
      <c r="D207" s="372" t="s">
        <v>1859</v>
      </c>
      <c r="E207" s="371" t="s">
        <v>1649</v>
      </c>
      <c r="F207" s="75"/>
      <c r="G207" s="591">
        <v>23</v>
      </c>
      <c r="H207" s="591">
        <v>29</v>
      </c>
      <c r="I207" s="590"/>
      <c r="J207" s="393" t="s">
        <v>487</v>
      </c>
      <c r="K207" s="397">
        <v>46387</v>
      </c>
      <c r="L207" s="438" t="s">
        <v>1723</v>
      </c>
      <c r="M207" s="75"/>
      <c r="N207" s="645" t="s">
        <v>1854</v>
      </c>
    </row>
    <row r="208" spans="1:14" ht="14.5" hidden="1" x14ac:dyDescent="0.35">
      <c r="A208" s="595" t="s">
        <v>121</v>
      </c>
      <c r="B208" s="138"/>
      <c r="C208" s="597" t="s">
        <v>935</v>
      </c>
      <c r="D208" s="372" t="s">
        <v>1850</v>
      </c>
      <c r="E208" s="371" t="s">
        <v>1649</v>
      </c>
      <c r="F208" s="75"/>
      <c r="G208" s="591">
        <v>18.3</v>
      </c>
      <c r="H208" s="591">
        <v>24.3</v>
      </c>
      <c r="I208" s="590"/>
      <c r="J208" s="393" t="s">
        <v>1843</v>
      </c>
      <c r="K208" s="397">
        <v>46387</v>
      </c>
      <c r="L208" s="438" t="s">
        <v>1723</v>
      </c>
      <c r="M208" s="75"/>
      <c r="N208" s="645" t="s">
        <v>1862</v>
      </c>
    </row>
    <row r="209" spans="1:14" ht="14.5" hidden="1" x14ac:dyDescent="0.35">
      <c r="A209" s="595" t="s">
        <v>127</v>
      </c>
      <c r="B209" s="138"/>
      <c r="C209" s="597" t="s">
        <v>440</v>
      </c>
      <c r="D209" s="372" t="s">
        <v>1850</v>
      </c>
      <c r="E209" s="371" t="s">
        <v>1649</v>
      </c>
      <c r="F209" s="75"/>
      <c r="G209" s="591">
        <v>34.799999999999997</v>
      </c>
      <c r="H209" s="591">
        <v>40.799999999999997</v>
      </c>
      <c r="I209" s="590"/>
      <c r="J209" s="393" t="s">
        <v>1843</v>
      </c>
      <c r="K209" s="397">
        <v>46387</v>
      </c>
      <c r="L209" s="438" t="s">
        <v>1723</v>
      </c>
      <c r="M209" s="75"/>
      <c r="N209" s="645" t="s">
        <v>1862</v>
      </c>
    </row>
    <row r="210" spans="1:14" ht="14.5" hidden="1" x14ac:dyDescent="0.35">
      <c r="A210" s="595" t="s">
        <v>131</v>
      </c>
      <c r="B210" s="138"/>
      <c r="C210" s="597" t="s">
        <v>935</v>
      </c>
      <c r="D210" s="372" t="s">
        <v>1850</v>
      </c>
      <c r="E210" s="371" t="s">
        <v>1649</v>
      </c>
      <c r="F210" s="75"/>
      <c r="G210" s="591">
        <v>20.65</v>
      </c>
      <c r="H210" s="591">
        <v>26.65</v>
      </c>
      <c r="I210" s="590"/>
      <c r="J210" s="393" t="s">
        <v>1843</v>
      </c>
      <c r="K210" s="397">
        <v>46387</v>
      </c>
      <c r="L210" s="438" t="s">
        <v>1723</v>
      </c>
      <c r="M210" s="75"/>
      <c r="N210" s="645" t="s">
        <v>1862</v>
      </c>
    </row>
    <row r="211" spans="1:14" ht="14.5" hidden="1" x14ac:dyDescent="0.35">
      <c r="A211" s="595" t="s">
        <v>138</v>
      </c>
      <c r="B211" s="138"/>
      <c r="C211" s="597" t="s">
        <v>892</v>
      </c>
      <c r="D211" s="372" t="s">
        <v>1850</v>
      </c>
      <c r="E211" s="371" t="s">
        <v>1649</v>
      </c>
      <c r="F211" s="75"/>
      <c r="G211" s="591">
        <v>62.8</v>
      </c>
      <c r="H211" s="591">
        <v>68.8</v>
      </c>
      <c r="I211" s="590"/>
      <c r="J211" s="393" t="s">
        <v>1843</v>
      </c>
      <c r="K211" s="397">
        <v>46387</v>
      </c>
      <c r="L211" s="438" t="s">
        <v>1723</v>
      </c>
      <c r="M211" s="75"/>
      <c r="N211" s="645" t="s">
        <v>1862</v>
      </c>
    </row>
    <row r="212" spans="1:14" ht="14.5" hidden="1" x14ac:dyDescent="0.35">
      <c r="A212" s="595" t="s">
        <v>142</v>
      </c>
      <c r="B212" s="138"/>
      <c r="C212" s="597" t="s">
        <v>448</v>
      </c>
      <c r="D212" s="372" t="s">
        <v>1850</v>
      </c>
      <c r="E212" s="371" t="s">
        <v>1649</v>
      </c>
      <c r="F212" s="75"/>
      <c r="G212" s="591">
        <v>25.1</v>
      </c>
      <c r="H212" s="591">
        <v>31.1</v>
      </c>
      <c r="I212" s="590"/>
      <c r="J212" s="393" t="s">
        <v>1843</v>
      </c>
      <c r="K212" s="397">
        <v>46387</v>
      </c>
      <c r="L212" s="438" t="s">
        <v>1723</v>
      </c>
      <c r="M212" s="75"/>
      <c r="N212" s="645" t="s">
        <v>1862</v>
      </c>
    </row>
    <row r="213" spans="1:14" ht="14.5" hidden="1" x14ac:dyDescent="0.35">
      <c r="A213" s="595" t="s">
        <v>146</v>
      </c>
      <c r="B213" s="138"/>
      <c r="C213" s="597" t="s">
        <v>942</v>
      </c>
      <c r="D213" s="372" t="s">
        <v>1850</v>
      </c>
      <c r="E213" s="371" t="s">
        <v>1649</v>
      </c>
      <c r="F213" s="75"/>
      <c r="G213" s="591">
        <v>52.4</v>
      </c>
      <c r="H213" s="591">
        <v>58.4</v>
      </c>
      <c r="I213" s="590"/>
      <c r="J213" s="393" t="s">
        <v>1843</v>
      </c>
      <c r="K213" s="397">
        <v>46387</v>
      </c>
      <c r="L213" s="438" t="s">
        <v>1723</v>
      </c>
      <c r="M213" s="75"/>
      <c r="N213" s="645" t="s">
        <v>1862</v>
      </c>
    </row>
    <row r="214" spans="1:14" ht="14.5" hidden="1" x14ac:dyDescent="0.35">
      <c r="A214" s="595" t="s">
        <v>153</v>
      </c>
      <c r="B214" s="138"/>
      <c r="C214" s="597" t="s">
        <v>943</v>
      </c>
      <c r="D214" s="372" t="s">
        <v>1850</v>
      </c>
      <c r="E214" s="371" t="s">
        <v>1649</v>
      </c>
      <c r="F214" s="75"/>
      <c r="G214" s="591">
        <v>36.9</v>
      </c>
      <c r="H214" s="591">
        <v>42.9</v>
      </c>
      <c r="I214" s="590"/>
      <c r="J214" s="393" t="s">
        <v>1843</v>
      </c>
      <c r="K214" s="397">
        <v>46387</v>
      </c>
      <c r="L214" s="438" t="s">
        <v>1723</v>
      </c>
      <c r="M214" s="75"/>
      <c r="N214" s="645" t="s">
        <v>1862</v>
      </c>
    </row>
    <row r="215" spans="1:14" ht="14.5" hidden="1" x14ac:dyDescent="0.35">
      <c r="A215" s="595" t="s">
        <v>157</v>
      </c>
      <c r="B215" s="138"/>
      <c r="C215" s="597" t="s">
        <v>462</v>
      </c>
      <c r="D215" s="372" t="s">
        <v>1850</v>
      </c>
      <c r="E215" s="371" t="s">
        <v>1649</v>
      </c>
      <c r="F215" s="75"/>
      <c r="G215" s="591">
        <v>47.65</v>
      </c>
      <c r="H215" s="591">
        <v>53.65</v>
      </c>
      <c r="I215" s="590"/>
      <c r="J215" s="393" t="s">
        <v>1843</v>
      </c>
      <c r="K215" s="397">
        <v>46387</v>
      </c>
      <c r="L215" s="438" t="s">
        <v>1723</v>
      </c>
      <c r="M215" s="75"/>
      <c r="N215" s="645" t="s">
        <v>1862</v>
      </c>
    </row>
    <row r="216" spans="1:14" ht="14.5" hidden="1" x14ac:dyDescent="0.35">
      <c r="A216" s="595" t="s">
        <v>200</v>
      </c>
      <c r="B216" s="138"/>
      <c r="C216" s="597" t="s">
        <v>518</v>
      </c>
      <c r="D216" s="372" t="s">
        <v>1850</v>
      </c>
      <c r="E216" s="371" t="s">
        <v>1649</v>
      </c>
      <c r="F216" s="75"/>
      <c r="G216" s="591">
        <v>44.1</v>
      </c>
      <c r="H216" s="591">
        <v>50.1</v>
      </c>
      <c r="I216" s="590"/>
      <c r="J216" s="393" t="s">
        <v>1843</v>
      </c>
      <c r="K216" s="397">
        <v>46387</v>
      </c>
      <c r="L216" s="438" t="s">
        <v>1723</v>
      </c>
      <c r="M216" s="75"/>
      <c r="N216" s="645" t="s">
        <v>1862</v>
      </c>
    </row>
    <row r="217" spans="1:14" ht="14.5" hidden="1" x14ac:dyDescent="0.35">
      <c r="A217" s="595">
        <v>14.03</v>
      </c>
      <c r="B217" s="138"/>
      <c r="C217" s="597" t="s">
        <v>966</v>
      </c>
      <c r="D217" s="372" t="s">
        <v>1850</v>
      </c>
      <c r="E217" s="371" t="s">
        <v>1649</v>
      </c>
      <c r="F217" s="75"/>
      <c r="G217" s="591">
        <v>105</v>
      </c>
      <c r="H217" s="591">
        <v>111</v>
      </c>
      <c r="I217" s="590"/>
      <c r="J217" s="393" t="s">
        <v>1843</v>
      </c>
      <c r="K217" s="397">
        <v>46387</v>
      </c>
      <c r="L217" s="438" t="s">
        <v>1723</v>
      </c>
      <c r="M217" s="75"/>
      <c r="N217" s="645" t="s">
        <v>1862</v>
      </c>
    </row>
    <row r="218" spans="1:14" ht="14.5" hidden="1" x14ac:dyDescent="0.35">
      <c r="A218" s="595" t="s">
        <v>550</v>
      </c>
      <c r="B218" s="138"/>
      <c r="C218" s="597" t="s">
        <v>976</v>
      </c>
      <c r="D218" s="372" t="s">
        <v>1850</v>
      </c>
      <c r="E218" s="371" t="s">
        <v>1649</v>
      </c>
      <c r="F218" s="75"/>
      <c r="G218" s="591">
        <v>39.816000000000003</v>
      </c>
      <c r="H218" s="591">
        <v>45.816000000000003</v>
      </c>
      <c r="I218" s="590"/>
      <c r="J218" s="393" t="s">
        <v>1843</v>
      </c>
      <c r="K218" s="397">
        <v>46387</v>
      </c>
      <c r="L218" s="438" t="s">
        <v>1723</v>
      </c>
      <c r="M218" s="75"/>
      <c r="N218" s="645" t="s">
        <v>1862</v>
      </c>
    </row>
    <row r="219" spans="1:14" ht="14.5" hidden="1" x14ac:dyDescent="0.35">
      <c r="A219" s="595" t="s">
        <v>245</v>
      </c>
      <c r="B219" s="138"/>
      <c r="C219" s="597" t="s">
        <v>985</v>
      </c>
      <c r="D219" s="372" t="s">
        <v>1860</v>
      </c>
      <c r="E219" s="371" t="s">
        <v>1649</v>
      </c>
      <c r="F219" s="75"/>
      <c r="G219" s="591">
        <v>63.61</v>
      </c>
      <c r="H219" s="591">
        <v>69.61</v>
      </c>
      <c r="I219" s="590"/>
      <c r="J219" s="393" t="s">
        <v>1843</v>
      </c>
      <c r="K219" s="397">
        <v>46387</v>
      </c>
      <c r="L219" s="438" t="s">
        <v>1723</v>
      </c>
      <c r="M219" s="75"/>
      <c r="N219" s="645" t="s">
        <v>1862</v>
      </c>
    </row>
    <row r="220" spans="1:14" ht="14.5" hidden="1" x14ac:dyDescent="0.35">
      <c r="A220" s="595" t="s">
        <v>84</v>
      </c>
      <c r="B220" s="138"/>
      <c r="C220" s="597" t="s">
        <v>1841</v>
      </c>
      <c r="D220" s="372" t="s">
        <v>1850</v>
      </c>
      <c r="E220" s="371" t="s">
        <v>1649</v>
      </c>
      <c r="F220" s="75"/>
      <c r="G220" s="591">
        <v>58.300000000000004</v>
      </c>
      <c r="H220" s="591">
        <v>64.300000000000011</v>
      </c>
      <c r="I220" s="590"/>
      <c r="J220" s="393" t="s">
        <v>1843</v>
      </c>
      <c r="K220" s="397">
        <v>46387</v>
      </c>
      <c r="L220" s="438" t="s">
        <v>1723</v>
      </c>
      <c r="M220" s="75"/>
      <c r="N220" s="645" t="s">
        <v>1862</v>
      </c>
    </row>
    <row r="221" spans="1:14" ht="14.5" hidden="1" x14ac:dyDescent="0.35">
      <c r="A221" s="595" t="s">
        <v>249</v>
      </c>
      <c r="B221" s="138"/>
      <c r="C221" s="597" t="s">
        <v>574</v>
      </c>
      <c r="D221" s="372" t="s">
        <v>1850</v>
      </c>
      <c r="E221" s="371" t="s">
        <v>1649</v>
      </c>
      <c r="F221" s="75"/>
      <c r="G221" s="591">
        <v>81.150000000000006</v>
      </c>
      <c r="H221" s="591">
        <v>87.15</v>
      </c>
      <c r="I221" s="590"/>
      <c r="J221" s="393" t="s">
        <v>1843</v>
      </c>
      <c r="K221" s="397">
        <v>46387</v>
      </c>
      <c r="L221" s="438" t="s">
        <v>1723</v>
      </c>
      <c r="M221" s="75"/>
      <c r="N221" s="645" t="s">
        <v>1862</v>
      </c>
    </row>
    <row r="222" spans="1:14" ht="14.5" hidden="1" x14ac:dyDescent="0.35">
      <c r="A222" s="595">
        <v>22.507209</v>
      </c>
      <c r="B222" s="138"/>
      <c r="C222" s="597" t="s">
        <v>1686</v>
      </c>
      <c r="D222" s="372" t="s">
        <v>1850</v>
      </c>
      <c r="E222" s="371" t="s">
        <v>1649</v>
      </c>
      <c r="F222" s="75"/>
      <c r="G222" s="591">
        <v>36.75</v>
      </c>
      <c r="H222" s="591">
        <v>42.75</v>
      </c>
      <c r="I222" s="590"/>
      <c r="J222" s="393" t="s">
        <v>1843</v>
      </c>
      <c r="K222" s="397">
        <v>46387</v>
      </c>
      <c r="L222" s="438" t="s">
        <v>1723</v>
      </c>
      <c r="M222" s="75"/>
      <c r="N222" s="645" t="s">
        <v>1862</v>
      </c>
    </row>
    <row r="223" spans="1:14" ht="14.5" hidden="1" x14ac:dyDescent="0.35">
      <c r="A223" s="595">
        <v>22.607011</v>
      </c>
      <c r="B223" s="138"/>
      <c r="C223" s="597" t="s">
        <v>611</v>
      </c>
      <c r="D223" s="372" t="s">
        <v>1850</v>
      </c>
      <c r="E223" s="371" t="s">
        <v>1649</v>
      </c>
      <c r="F223" s="75"/>
      <c r="G223" s="591">
        <v>44.1</v>
      </c>
      <c r="H223" s="591">
        <v>50.1</v>
      </c>
      <c r="I223" s="590"/>
      <c r="J223" s="393" t="s">
        <v>1843</v>
      </c>
      <c r="K223" s="397">
        <v>46387</v>
      </c>
      <c r="L223" s="438" t="s">
        <v>1723</v>
      </c>
      <c r="M223" s="75"/>
      <c r="N223" s="645" t="s">
        <v>1862</v>
      </c>
    </row>
    <row r="224" spans="1:14" ht="14.5" hidden="1" x14ac:dyDescent="0.35">
      <c r="A224" s="595">
        <v>22.697012000000001</v>
      </c>
      <c r="B224" s="138"/>
      <c r="C224" s="597" t="s">
        <v>1842</v>
      </c>
      <c r="D224" s="372" t="s">
        <v>1850</v>
      </c>
      <c r="E224" s="371" t="s">
        <v>1649</v>
      </c>
      <c r="F224" s="75"/>
      <c r="G224" s="591">
        <v>43.050000000000004</v>
      </c>
      <c r="H224" s="591">
        <v>49.050000000000004</v>
      </c>
      <c r="I224" s="590"/>
      <c r="J224" s="393" t="s">
        <v>1843</v>
      </c>
      <c r="K224" s="397">
        <v>46387</v>
      </c>
      <c r="L224" s="438" t="s">
        <v>1723</v>
      </c>
      <c r="M224" s="75"/>
      <c r="N224" s="645" t="s">
        <v>1862</v>
      </c>
    </row>
    <row r="225" spans="1:14" ht="14.5" hidden="1" x14ac:dyDescent="0.35">
      <c r="A225" s="595" t="s">
        <v>274</v>
      </c>
      <c r="B225" s="138"/>
      <c r="C225" s="597" t="s">
        <v>623</v>
      </c>
      <c r="D225" s="372" t="s">
        <v>1850</v>
      </c>
      <c r="E225" s="371" t="s">
        <v>1649</v>
      </c>
      <c r="F225" s="75"/>
      <c r="G225" s="591">
        <v>48.667500000000004</v>
      </c>
      <c r="H225" s="591">
        <v>54.667500000000004</v>
      </c>
      <c r="I225" s="590"/>
      <c r="J225" s="393" t="s">
        <v>1843</v>
      </c>
      <c r="K225" s="397">
        <v>46387</v>
      </c>
      <c r="L225" s="438" t="s">
        <v>1723</v>
      </c>
      <c r="M225" s="75"/>
      <c r="N225" s="645" t="s">
        <v>1862</v>
      </c>
    </row>
    <row r="226" spans="1:14" ht="14.5" hidden="1" x14ac:dyDescent="0.35">
      <c r="A226" s="595" t="s">
        <v>276</v>
      </c>
      <c r="B226" s="138"/>
      <c r="C226" s="597" t="s">
        <v>626</v>
      </c>
      <c r="D226" s="372" t="s">
        <v>1850</v>
      </c>
      <c r="E226" s="371" t="s">
        <v>1649</v>
      </c>
      <c r="F226" s="75"/>
      <c r="G226" s="591">
        <v>44.205000000000005</v>
      </c>
      <c r="H226" s="591">
        <v>50.205000000000005</v>
      </c>
      <c r="I226" s="590"/>
      <c r="J226" s="393" t="s">
        <v>1843</v>
      </c>
      <c r="K226" s="397">
        <v>46387</v>
      </c>
      <c r="L226" s="438" t="s">
        <v>1723</v>
      </c>
      <c r="M226" s="75"/>
      <c r="N226" s="645" t="s">
        <v>1862</v>
      </c>
    </row>
    <row r="227" spans="1:14" ht="14.5" hidden="1" x14ac:dyDescent="0.35">
      <c r="A227" s="595" t="s">
        <v>60</v>
      </c>
      <c r="B227" s="138"/>
      <c r="C227" s="597" t="s">
        <v>61</v>
      </c>
      <c r="D227" s="372" t="s">
        <v>1850</v>
      </c>
      <c r="E227" s="371" t="s">
        <v>1649</v>
      </c>
      <c r="F227" s="75"/>
      <c r="G227" s="591">
        <v>76.650000000000006</v>
      </c>
      <c r="H227" s="591">
        <v>82.65</v>
      </c>
      <c r="I227" s="590"/>
      <c r="J227" s="393" t="s">
        <v>1843</v>
      </c>
      <c r="K227" s="397">
        <v>46387</v>
      </c>
      <c r="L227" s="438" t="s">
        <v>1723</v>
      </c>
      <c r="M227" s="75"/>
      <c r="N227" s="645" t="s">
        <v>1862</v>
      </c>
    </row>
    <row r="228" spans="1:14" ht="14.5" hidden="1" x14ac:dyDescent="0.35">
      <c r="A228" s="595" t="s">
        <v>286</v>
      </c>
      <c r="B228" s="138"/>
      <c r="C228" s="597" t="s">
        <v>666</v>
      </c>
      <c r="D228" s="372" t="s">
        <v>1850</v>
      </c>
      <c r="E228" s="371" t="s">
        <v>1649</v>
      </c>
      <c r="F228" s="75"/>
      <c r="G228" s="591">
        <v>38</v>
      </c>
      <c r="H228" s="591">
        <v>44</v>
      </c>
      <c r="I228" s="590"/>
      <c r="J228" s="393" t="s">
        <v>1843</v>
      </c>
      <c r="K228" s="397">
        <v>46387</v>
      </c>
      <c r="L228" s="438" t="s">
        <v>1723</v>
      </c>
      <c r="M228" s="75"/>
      <c r="N228" s="645" t="s">
        <v>1862</v>
      </c>
    </row>
    <row r="229" spans="1:14" ht="14.5" hidden="1" x14ac:dyDescent="0.35">
      <c r="A229" s="595" t="s">
        <v>296</v>
      </c>
      <c r="B229" s="138"/>
      <c r="C229" s="597" t="s">
        <v>675</v>
      </c>
      <c r="D229" s="372" t="s">
        <v>1850</v>
      </c>
      <c r="E229" s="371" t="s">
        <v>1649</v>
      </c>
      <c r="F229" s="75"/>
      <c r="G229" s="591">
        <v>31</v>
      </c>
      <c r="H229" s="591">
        <v>37</v>
      </c>
      <c r="I229" s="590"/>
      <c r="J229" s="393" t="s">
        <v>1843</v>
      </c>
      <c r="K229" s="397">
        <v>46387</v>
      </c>
      <c r="L229" s="438" t="s">
        <v>1723</v>
      </c>
      <c r="M229" s="75"/>
      <c r="N229" s="645" t="s">
        <v>1862</v>
      </c>
    </row>
    <row r="230" spans="1:14" ht="14.5" hidden="1" x14ac:dyDescent="0.35">
      <c r="A230" s="595">
        <v>41.098331999999999</v>
      </c>
      <c r="B230" s="138"/>
      <c r="C230" s="597" t="s">
        <v>1020</v>
      </c>
      <c r="D230" s="372" t="s">
        <v>1850</v>
      </c>
      <c r="E230" s="371" t="s">
        <v>1649</v>
      </c>
      <c r="F230" s="75"/>
      <c r="G230" s="591">
        <v>44.1</v>
      </c>
      <c r="H230" s="591">
        <v>50.1</v>
      </c>
      <c r="I230" s="590"/>
      <c r="J230" s="393" t="s">
        <v>1843</v>
      </c>
      <c r="K230" s="397">
        <v>46387</v>
      </c>
      <c r="L230" s="438" t="s">
        <v>1723</v>
      </c>
      <c r="M230" s="75"/>
      <c r="N230" s="645" t="s">
        <v>1862</v>
      </c>
    </row>
    <row r="231" spans="1:14" ht="14.5" hidden="1" x14ac:dyDescent="0.35">
      <c r="A231" s="595">
        <v>48.002000000000002</v>
      </c>
      <c r="B231" s="138"/>
      <c r="C231" s="597" t="s">
        <v>899</v>
      </c>
      <c r="D231" s="372" t="s">
        <v>1850</v>
      </c>
      <c r="E231" s="371" t="s">
        <v>1649</v>
      </c>
      <c r="F231" s="75"/>
      <c r="G231" s="591">
        <v>166.95000000000002</v>
      </c>
      <c r="H231" s="591">
        <v>172.95000000000002</v>
      </c>
      <c r="I231" s="590"/>
      <c r="J231" s="393" t="s">
        <v>1843</v>
      </c>
      <c r="K231" s="397">
        <v>46387</v>
      </c>
      <c r="L231" s="438" t="s">
        <v>1723</v>
      </c>
      <c r="M231" s="75"/>
      <c r="N231" s="645" t="s">
        <v>1862</v>
      </c>
    </row>
    <row r="232" spans="1:14" ht="14.5" hidden="1" x14ac:dyDescent="0.35">
      <c r="A232" s="595" t="s">
        <v>342</v>
      </c>
      <c r="B232" s="138"/>
      <c r="C232" s="597" t="s">
        <v>753</v>
      </c>
      <c r="D232" s="372" t="s">
        <v>1850</v>
      </c>
      <c r="E232" s="371" t="s">
        <v>1649</v>
      </c>
      <c r="F232" s="75"/>
      <c r="G232" s="591">
        <v>29.21</v>
      </c>
      <c r="H232" s="591">
        <v>35.21</v>
      </c>
      <c r="I232" s="590"/>
      <c r="J232" s="393" t="s">
        <v>1843</v>
      </c>
      <c r="K232" s="397">
        <v>46387</v>
      </c>
      <c r="L232" s="438" t="s">
        <v>1723</v>
      </c>
      <c r="M232" s="75"/>
      <c r="N232" s="645" t="s">
        <v>1862</v>
      </c>
    </row>
    <row r="233" spans="1:14" ht="14.5" hidden="1" x14ac:dyDescent="0.35">
      <c r="A233" s="595" t="s">
        <v>349</v>
      </c>
      <c r="B233" s="138"/>
      <c r="C233" s="597" t="s">
        <v>757</v>
      </c>
      <c r="D233" s="372" t="s">
        <v>1850</v>
      </c>
      <c r="E233" s="371" t="s">
        <v>1649</v>
      </c>
      <c r="F233" s="75"/>
      <c r="G233" s="591">
        <v>85.45</v>
      </c>
      <c r="H233" s="591">
        <v>91.45</v>
      </c>
      <c r="I233" s="590"/>
      <c r="J233" s="393" t="s">
        <v>1843</v>
      </c>
      <c r="K233" s="397">
        <v>46387</v>
      </c>
      <c r="L233" s="438" t="s">
        <v>1723</v>
      </c>
      <c r="M233" s="75"/>
      <c r="N233" s="645" t="s">
        <v>1862</v>
      </c>
    </row>
    <row r="234" spans="1:14" ht="14.5" hidden="1" x14ac:dyDescent="0.35">
      <c r="A234" s="595">
        <v>51.097506000000003</v>
      </c>
      <c r="B234" s="138"/>
      <c r="C234" s="597" t="s">
        <v>922</v>
      </c>
      <c r="D234" s="372" t="s">
        <v>1850</v>
      </c>
      <c r="E234" s="371" t="s">
        <v>1649</v>
      </c>
      <c r="F234" s="75"/>
      <c r="G234" s="591">
        <v>26.65</v>
      </c>
      <c r="H234" s="591">
        <v>32.65</v>
      </c>
      <c r="I234" s="590"/>
      <c r="J234" s="393" t="s">
        <v>1843</v>
      </c>
      <c r="K234" s="397">
        <v>46387</v>
      </c>
      <c r="L234" s="438" t="s">
        <v>1723</v>
      </c>
      <c r="M234" s="75"/>
      <c r="N234" s="645" t="s">
        <v>1862</v>
      </c>
    </row>
    <row r="235" spans="1:14" ht="14.5" hidden="1" x14ac:dyDescent="0.35">
      <c r="A235" s="595">
        <v>51.43</v>
      </c>
      <c r="B235" s="138"/>
      <c r="C235" s="597" t="s">
        <v>1703</v>
      </c>
      <c r="D235" s="372" t="s">
        <v>1850</v>
      </c>
      <c r="E235" s="371" t="s">
        <v>1649</v>
      </c>
      <c r="F235" s="75"/>
      <c r="G235" s="591">
        <v>18.399999999999999</v>
      </c>
      <c r="H235" s="591">
        <v>24.4</v>
      </c>
      <c r="I235" s="590"/>
      <c r="J235" s="393" t="s">
        <v>1843</v>
      </c>
      <c r="K235" s="397">
        <v>46387</v>
      </c>
      <c r="L235" s="438" t="s">
        <v>1723</v>
      </c>
      <c r="M235" s="75"/>
      <c r="N235" s="645" t="s">
        <v>1862</v>
      </c>
    </row>
    <row r="236" spans="1:14" ht="14.5" hidden="1" x14ac:dyDescent="0.35">
      <c r="A236" s="595" t="s">
        <v>788</v>
      </c>
      <c r="B236" s="138"/>
      <c r="C236" s="597" t="s">
        <v>789</v>
      </c>
      <c r="D236" s="432" t="s">
        <v>1850</v>
      </c>
      <c r="E236" s="157" t="s">
        <v>2127</v>
      </c>
      <c r="F236" s="75"/>
      <c r="G236" s="591">
        <v>85.102500000000006</v>
      </c>
      <c r="H236" s="591">
        <v>91.102500000000006</v>
      </c>
      <c r="I236" s="590"/>
      <c r="J236" s="393" t="s">
        <v>1843</v>
      </c>
      <c r="K236" s="397">
        <v>46387</v>
      </c>
      <c r="L236" s="438" t="s">
        <v>1723</v>
      </c>
      <c r="M236" s="75"/>
      <c r="N236" s="645" t="s">
        <v>1862</v>
      </c>
    </row>
    <row r="237" spans="1:14" ht="14.5" hidden="1" x14ac:dyDescent="0.35">
      <c r="A237" s="595" t="s">
        <v>423</v>
      </c>
      <c r="B237" s="138"/>
      <c r="C237" s="597" t="s">
        <v>424</v>
      </c>
      <c r="D237" s="372" t="s">
        <v>1850</v>
      </c>
      <c r="E237" s="371" t="s">
        <v>1649</v>
      </c>
      <c r="F237" s="75"/>
      <c r="G237" s="591">
        <v>117.495</v>
      </c>
      <c r="H237" s="591">
        <v>123.495</v>
      </c>
      <c r="I237" s="590"/>
      <c r="J237" s="393" t="s">
        <v>1843</v>
      </c>
      <c r="K237" s="397">
        <v>46387</v>
      </c>
      <c r="L237" s="438" t="s">
        <v>1723</v>
      </c>
      <c r="M237" s="75"/>
      <c r="N237" s="645" t="s">
        <v>1862</v>
      </c>
    </row>
    <row r="238" spans="1:14" ht="14.5" hidden="1" x14ac:dyDescent="0.35">
      <c r="A238" s="595" t="s">
        <v>797</v>
      </c>
      <c r="B238" s="138"/>
      <c r="C238" s="597" t="s">
        <v>798</v>
      </c>
      <c r="D238" s="372" t="s">
        <v>1850</v>
      </c>
      <c r="E238" s="371" t="s">
        <v>1649</v>
      </c>
      <c r="F238" s="75"/>
      <c r="G238" s="591">
        <v>108.15</v>
      </c>
      <c r="H238" s="591">
        <v>114.15</v>
      </c>
      <c r="I238" s="590"/>
      <c r="J238" s="393" t="s">
        <v>1843</v>
      </c>
      <c r="K238" s="397">
        <v>46387</v>
      </c>
      <c r="L238" s="438" t="s">
        <v>1723</v>
      </c>
      <c r="M238" s="75"/>
      <c r="N238" s="645" t="s">
        <v>1862</v>
      </c>
    </row>
    <row r="239" spans="1:14" ht="14.5" hidden="1" x14ac:dyDescent="0.35">
      <c r="A239" s="595" t="s">
        <v>807</v>
      </c>
      <c r="B239" s="138"/>
      <c r="C239" s="597" t="s">
        <v>808</v>
      </c>
      <c r="D239" s="372" t="s">
        <v>1850</v>
      </c>
      <c r="E239" s="371" t="s">
        <v>1649</v>
      </c>
      <c r="F239" s="75"/>
      <c r="G239" s="591">
        <v>72.345000000000013</v>
      </c>
      <c r="H239" s="591">
        <v>78.345000000000013</v>
      </c>
      <c r="I239" s="590"/>
      <c r="J239" s="393" t="s">
        <v>1843</v>
      </c>
      <c r="K239" s="397">
        <v>46387</v>
      </c>
      <c r="L239" s="438" t="s">
        <v>1723</v>
      </c>
      <c r="M239" s="75"/>
      <c r="N239" s="645" t="s">
        <v>1862</v>
      </c>
    </row>
    <row r="240" spans="1:14" ht="14.5" hidden="1" x14ac:dyDescent="0.35">
      <c r="A240" s="595" t="s">
        <v>867</v>
      </c>
      <c r="B240" s="138"/>
      <c r="C240" s="597" t="s">
        <v>1047</v>
      </c>
      <c r="D240" s="372" t="s">
        <v>1850</v>
      </c>
      <c r="E240" s="371" t="s">
        <v>1649</v>
      </c>
      <c r="F240" s="75"/>
      <c r="G240" s="591">
        <v>50.610000000000007</v>
      </c>
      <c r="H240" s="591">
        <v>56.610000000000007</v>
      </c>
      <c r="I240" s="590"/>
      <c r="J240" s="393" t="s">
        <v>1843</v>
      </c>
      <c r="K240" s="397">
        <v>46387</v>
      </c>
      <c r="L240" s="438" t="s">
        <v>1723</v>
      </c>
      <c r="M240" s="75"/>
      <c r="N240" s="645" t="s">
        <v>1862</v>
      </c>
    </row>
    <row r="241" spans="1:14" ht="14.5" hidden="1" x14ac:dyDescent="0.35">
      <c r="A241" s="595" t="s">
        <v>817</v>
      </c>
      <c r="B241" s="138"/>
      <c r="C241" s="597" t="s">
        <v>818</v>
      </c>
      <c r="D241" s="372" t="s">
        <v>1850</v>
      </c>
      <c r="E241" s="371" t="s">
        <v>1649</v>
      </c>
      <c r="F241" s="75"/>
      <c r="G241" s="591">
        <v>138.54749999999999</v>
      </c>
      <c r="H241" s="591">
        <v>144.54749999999999</v>
      </c>
      <c r="I241" s="590"/>
      <c r="J241" s="393" t="s">
        <v>1843</v>
      </c>
      <c r="K241" s="397">
        <v>46387</v>
      </c>
      <c r="L241" s="438" t="s">
        <v>1723</v>
      </c>
      <c r="M241" s="75"/>
      <c r="N241" s="645" t="s">
        <v>1862</v>
      </c>
    </row>
    <row r="242" spans="1:14" ht="14.5" hidden="1" x14ac:dyDescent="0.35">
      <c r="A242" s="595">
        <v>58.007449000000001</v>
      </c>
      <c r="B242" s="138"/>
      <c r="C242" s="597" t="s">
        <v>926</v>
      </c>
      <c r="D242" s="372" t="s">
        <v>1850</v>
      </c>
      <c r="E242" s="371" t="s">
        <v>1649</v>
      </c>
      <c r="F242" s="75"/>
      <c r="G242" s="591">
        <v>35.700000000000003</v>
      </c>
      <c r="H242" s="591">
        <v>41.7</v>
      </c>
      <c r="I242" s="590"/>
      <c r="J242" s="393" t="s">
        <v>1843</v>
      </c>
      <c r="K242" s="397">
        <v>46387</v>
      </c>
      <c r="L242" s="438" t="s">
        <v>1723</v>
      </c>
      <c r="M242" s="75"/>
      <c r="N242" s="645" t="s">
        <v>1862</v>
      </c>
    </row>
    <row r="243" spans="1:14" ht="14.5" hidden="1" x14ac:dyDescent="0.35">
      <c r="A243" s="595" t="s">
        <v>829</v>
      </c>
      <c r="B243" s="138"/>
      <c r="C243" s="597" t="s">
        <v>830</v>
      </c>
      <c r="D243" s="372" t="s">
        <v>1850</v>
      </c>
      <c r="E243" s="371" t="s">
        <v>1649</v>
      </c>
      <c r="F243" s="75"/>
      <c r="G243" s="591">
        <v>65.541000000000011</v>
      </c>
      <c r="H243" s="591">
        <v>71.541000000000011</v>
      </c>
      <c r="I243" s="590"/>
      <c r="J243" s="393" t="s">
        <v>1843</v>
      </c>
      <c r="K243" s="397">
        <v>46387</v>
      </c>
      <c r="L243" s="438" t="s">
        <v>1723</v>
      </c>
      <c r="M243" s="75"/>
      <c r="N243" s="645" t="s">
        <v>1862</v>
      </c>
    </row>
    <row r="244" spans="1:14" ht="14.5" hidden="1" x14ac:dyDescent="0.35">
      <c r="A244" s="595">
        <v>43.02</v>
      </c>
      <c r="B244" s="138"/>
      <c r="C244" s="597" t="s">
        <v>1022</v>
      </c>
      <c r="D244" s="372" t="s">
        <v>1859</v>
      </c>
      <c r="E244" s="371" t="s">
        <v>1649</v>
      </c>
      <c r="F244" s="75"/>
      <c r="G244" s="594">
        <v>224</v>
      </c>
      <c r="H244" s="594">
        <v>230</v>
      </c>
      <c r="I244" s="590"/>
      <c r="J244" s="393" t="s">
        <v>1843</v>
      </c>
      <c r="K244" s="397">
        <v>46387</v>
      </c>
      <c r="L244" s="438" t="s">
        <v>1723</v>
      </c>
      <c r="M244" s="75"/>
      <c r="N244" s="645" t="s">
        <v>1846</v>
      </c>
    </row>
    <row r="245" spans="1:14" ht="14.5" hidden="1" x14ac:dyDescent="0.35">
      <c r="A245" s="595">
        <v>32.01</v>
      </c>
      <c r="B245" s="138"/>
      <c r="C245" s="597" t="s">
        <v>1016</v>
      </c>
      <c r="D245" s="372" t="s">
        <v>1860</v>
      </c>
      <c r="E245" s="371" t="s">
        <v>1649</v>
      </c>
      <c r="F245" s="75"/>
      <c r="G245" s="591">
        <v>97.24</v>
      </c>
      <c r="H245" s="594">
        <v>103.24</v>
      </c>
      <c r="I245" s="590"/>
      <c r="J245" s="393" t="s">
        <v>1843</v>
      </c>
      <c r="K245" s="397">
        <v>46387</v>
      </c>
      <c r="L245" s="438" t="s">
        <v>1723</v>
      </c>
      <c r="M245" s="75"/>
      <c r="N245" s="645" t="s">
        <v>1846</v>
      </c>
    </row>
    <row r="246" spans="1:14" ht="14.5" hidden="1" x14ac:dyDescent="0.35">
      <c r="A246" s="595">
        <v>33.01</v>
      </c>
      <c r="B246" s="138"/>
      <c r="C246" s="597" t="s">
        <v>1018</v>
      </c>
      <c r="D246" s="372" t="s">
        <v>1859</v>
      </c>
      <c r="E246" s="371" t="s">
        <v>1649</v>
      </c>
      <c r="F246" s="75"/>
      <c r="G246" s="591">
        <v>120.46</v>
      </c>
      <c r="H246" s="594">
        <v>126.46</v>
      </c>
      <c r="I246" s="590"/>
      <c r="J246" s="393" t="s">
        <v>1843</v>
      </c>
      <c r="K246" s="397">
        <v>46387</v>
      </c>
      <c r="L246" s="438" t="s">
        <v>1723</v>
      </c>
      <c r="M246" s="75"/>
      <c r="N246" s="645" t="s">
        <v>1846</v>
      </c>
    </row>
    <row r="247" spans="1:14" ht="14.5" hidden="1" x14ac:dyDescent="0.35">
      <c r="A247" s="595">
        <v>51.987923000000002</v>
      </c>
      <c r="B247" s="138"/>
      <c r="C247" s="597" t="s">
        <v>1705</v>
      </c>
      <c r="D247" s="372" t="s">
        <v>1859</v>
      </c>
      <c r="E247" s="371" t="s">
        <v>1649</v>
      </c>
      <c r="F247" s="75"/>
      <c r="G247" s="591">
        <v>35.25</v>
      </c>
      <c r="H247" s="591">
        <v>41.25</v>
      </c>
      <c r="I247" s="590"/>
      <c r="J247" s="393" t="s">
        <v>1843</v>
      </c>
      <c r="K247" s="397">
        <v>46387</v>
      </c>
      <c r="L247" s="438" t="s">
        <v>1723</v>
      </c>
      <c r="M247" s="75"/>
      <c r="N247" s="645" t="s">
        <v>1846</v>
      </c>
    </row>
    <row r="248" spans="1:14" ht="14.5" hidden="1" x14ac:dyDescent="0.35">
      <c r="A248" s="595">
        <v>19.010000000000002</v>
      </c>
      <c r="B248" s="138"/>
      <c r="C248" s="597" t="s">
        <v>904</v>
      </c>
      <c r="D248" s="372" t="s">
        <v>1859</v>
      </c>
      <c r="E248" s="371" t="s">
        <v>1649</v>
      </c>
      <c r="F248" s="75"/>
      <c r="G248" s="591">
        <v>79.59</v>
      </c>
      <c r="H248" s="594">
        <v>85.59</v>
      </c>
      <c r="I248" s="590"/>
      <c r="J248" s="393" t="s">
        <v>1843</v>
      </c>
      <c r="K248" s="397">
        <v>46387</v>
      </c>
      <c r="L248" s="438" t="s">
        <v>1723</v>
      </c>
      <c r="M248" s="75"/>
      <c r="N248" s="645" t="s">
        <v>1846</v>
      </c>
    </row>
    <row r="249" spans="1:14" ht="14.5" hidden="1" x14ac:dyDescent="0.35">
      <c r="A249" s="595" t="s">
        <v>862</v>
      </c>
      <c r="B249" s="138"/>
      <c r="C249" s="597" t="s">
        <v>1844</v>
      </c>
      <c r="D249" s="372" t="s">
        <v>1859</v>
      </c>
      <c r="E249" s="371" t="s">
        <v>1649</v>
      </c>
      <c r="F249" s="75"/>
      <c r="G249" s="591">
        <v>230.05</v>
      </c>
      <c r="H249" s="594">
        <v>236.05</v>
      </c>
      <c r="I249" s="590"/>
      <c r="J249" s="393" t="s">
        <v>1843</v>
      </c>
      <c r="K249" s="397">
        <v>46387</v>
      </c>
      <c r="L249" s="438" t="s">
        <v>1723</v>
      </c>
      <c r="M249" s="75"/>
      <c r="N249" s="645" t="s">
        <v>1846</v>
      </c>
    </row>
    <row r="250" spans="1:14" ht="14.5" hidden="1" x14ac:dyDescent="0.35">
      <c r="A250" s="595" t="s">
        <v>801</v>
      </c>
      <c r="B250" s="138"/>
      <c r="C250" s="597" t="s">
        <v>1845</v>
      </c>
      <c r="D250" s="372" t="s">
        <v>1859</v>
      </c>
      <c r="E250" s="371" t="s">
        <v>1649</v>
      </c>
      <c r="F250" s="75"/>
      <c r="G250" s="591">
        <v>149.35</v>
      </c>
      <c r="H250" s="591">
        <v>155.35</v>
      </c>
      <c r="I250" s="590"/>
      <c r="J250" s="393" t="s">
        <v>1843</v>
      </c>
      <c r="K250" s="397">
        <v>46387</v>
      </c>
      <c r="L250" s="438" t="s">
        <v>1723</v>
      </c>
      <c r="M250" s="75"/>
      <c r="N250" s="645" t="s">
        <v>1846</v>
      </c>
    </row>
    <row r="251" spans="1:14" ht="14.5" hidden="1" x14ac:dyDescent="0.35">
      <c r="A251" s="596" t="s">
        <v>63</v>
      </c>
      <c r="B251" s="138"/>
      <c r="C251" s="597" t="s">
        <v>64</v>
      </c>
      <c r="D251" s="372" t="s">
        <v>1859</v>
      </c>
      <c r="E251" s="371" t="s">
        <v>1649</v>
      </c>
      <c r="F251" s="75"/>
      <c r="G251" s="594">
        <v>28</v>
      </c>
      <c r="H251" s="594">
        <v>34</v>
      </c>
      <c r="I251" s="590"/>
      <c r="J251" s="393" t="s">
        <v>1843</v>
      </c>
      <c r="K251" s="397">
        <v>46387</v>
      </c>
      <c r="L251" s="438" t="s">
        <v>1723</v>
      </c>
      <c r="M251" s="75"/>
      <c r="N251" s="645" t="s">
        <v>1846</v>
      </c>
    </row>
    <row r="252" spans="1:14" ht="14.5" hidden="1" x14ac:dyDescent="0.35">
      <c r="A252" s="595" t="s">
        <v>1847</v>
      </c>
      <c r="B252" s="138"/>
      <c r="C252" s="597" t="s">
        <v>1848</v>
      </c>
      <c r="D252" s="372" t="s">
        <v>18</v>
      </c>
      <c r="E252" s="371" t="s">
        <v>1649</v>
      </c>
      <c r="F252" s="75"/>
      <c r="G252" s="591">
        <v>44.6</v>
      </c>
      <c r="H252" s="591">
        <v>50.6</v>
      </c>
      <c r="I252" s="590"/>
      <c r="J252" s="393" t="s">
        <v>1843</v>
      </c>
      <c r="K252" s="397">
        <v>46022</v>
      </c>
      <c r="L252" s="438" t="s">
        <v>1723</v>
      </c>
      <c r="M252" s="75"/>
      <c r="N252" s="645" t="s">
        <v>1849</v>
      </c>
    </row>
    <row r="253" spans="1:14" ht="14.5" hidden="1" x14ac:dyDescent="0.35">
      <c r="A253" s="595" t="s">
        <v>1847</v>
      </c>
      <c r="B253" s="138"/>
      <c r="C253" s="597" t="s">
        <v>1848</v>
      </c>
      <c r="D253" s="372" t="s">
        <v>1859</v>
      </c>
      <c r="E253" s="371" t="s">
        <v>1649</v>
      </c>
      <c r="F253" s="75"/>
      <c r="G253" s="591">
        <v>44.6</v>
      </c>
      <c r="H253" s="591">
        <v>50.6</v>
      </c>
      <c r="I253" s="590"/>
      <c r="J253" s="393" t="s">
        <v>1843</v>
      </c>
      <c r="K253" s="397">
        <v>46387</v>
      </c>
      <c r="L253" s="438" t="s">
        <v>1723</v>
      </c>
      <c r="M253" s="75"/>
      <c r="N253" s="645" t="s">
        <v>1849</v>
      </c>
    </row>
    <row r="254" spans="1:14" ht="14.5" hidden="1" x14ac:dyDescent="0.35">
      <c r="A254" s="595" t="s">
        <v>945</v>
      </c>
      <c r="B254" s="138"/>
      <c r="C254" s="597" t="s">
        <v>946</v>
      </c>
      <c r="D254" s="372" t="s">
        <v>1859</v>
      </c>
      <c r="E254" s="371" t="s">
        <v>1649</v>
      </c>
      <c r="F254" s="75"/>
      <c r="G254" s="594">
        <v>130</v>
      </c>
      <c r="H254" s="594">
        <v>136</v>
      </c>
      <c r="I254" s="590"/>
      <c r="J254" s="393" t="s">
        <v>1843</v>
      </c>
      <c r="K254" s="397">
        <v>46203</v>
      </c>
      <c r="L254" s="438" t="s">
        <v>1723</v>
      </c>
      <c r="M254" s="75"/>
      <c r="N254" s="645" t="s">
        <v>1855</v>
      </c>
    </row>
    <row r="255" spans="1:14" ht="14.5" hidden="1" x14ac:dyDescent="0.35">
      <c r="A255" s="595" t="s">
        <v>1856</v>
      </c>
      <c r="B255" s="138"/>
      <c r="C255" s="597" t="s">
        <v>1857</v>
      </c>
      <c r="D255" s="372" t="s">
        <v>1861</v>
      </c>
      <c r="E255" s="371" t="s">
        <v>1649</v>
      </c>
      <c r="F255" s="75"/>
      <c r="G255" s="591">
        <v>40</v>
      </c>
      <c r="H255" s="591">
        <v>46</v>
      </c>
      <c r="I255" s="590"/>
      <c r="J255" s="393" t="s">
        <v>1843</v>
      </c>
      <c r="K255" s="397">
        <v>46022</v>
      </c>
      <c r="L255" s="438" t="s">
        <v>1723</v>
      </c>
      <c r="M255" s="75"/>
      <c r="N255" s="645" t="s">
        <v>1858</v>
      </c>
    </row>
    <row r="256" spans="1:14" ht="14.5" hidden="1" x14ac:dyDescent="0.35">
      <c r="A256" s="595" t="s">
        <v>1856</v>
      </c>
      <c r="B256" s="138"/>
      <c r="C256" s="597" t="s">
        <v>1857</v>
      </c>
      <c r="D256" s="372" t="s">
        <v>1859</v>
      </c>
      <c r="E256" s="371" t="s">
        <v>1649</v>
      </c>
      <c r="F256" s="75"/>
      <c r="G256" s="591">
        <v>40</v>
      </c>
      <c r="H256" s="591">
        <v>46</v>
      </c>
      <c r="I256" s="590"/>
      <c r="J256" s="393" t="s">
        <v>1843</v>
      </c>
      <c r="K256" s="397">
        <v>46203</v>
      </c>
      <c r="L256" s="438" t="s">
        <v>1723</v>
      </c>
      <c r="M256" s="75"/>
      <c r="N256" s="645" t="s">
        <v>1858</v>
      </c>
    </row>
    <row r="257" spans="1:14" ht="14.5" hidden="1" x14ac:dyDescent="0.35">
      <c r="A257" s="595" t="s">
        <v>788</v>
      </c>
      <c r="B257" s="138"/>
      <c r="C257" s="597" t="s">
        <v>789</v>
      </c>
      <c r="D257" s="372" t="s">
        <v>1850</v>
      </c>
      <c r="E257" s="371" t="s">
        <v>1649</v>
      </c>
      <c r="F257" s="590">
        <v>85.102500000000006</v>
      </c>
      <c r="G257" s="591">
        <v>82</v>
      </c>
      <c r="H257" s="591">
        <v>88</v>
      </c>
      <c r="I257" s="393"/>
      <c r="J257" s="393" t="s">
        <v>1843</v>
      </c>
      <c r="K257" s="397">
        <v>46387</v>
      </c>
      <c r="L257" s="438" t="s">
        <v>1723</v>
      </c>
      <c r="M257" s="439"/>
      <c r="N257" s="646" t="s">
        <v>1863</v>
      </c>
    </row>
    <row r="258" spans="1:14" ht="14.5" hidden="1" x14ac:dyDescent="0.35">
      <c r="A258" s="595">
        <v>11.01</v>
      </c>
      <c r="B258" s="138"/>
      <c r="C258" s="75" t="s">
        <v>1655</v>
      </c>
      <c r="D258" s="372" t="s">
        <v>1859</v>
      </c>
      <c r="E258" s="371" t="s">
        <v>1649</v>
      </c>
      <c r="F258" s="590"/>
      <c r="G258" s="591">
        <v>55</v>
      </c>
      <c r="H258" s="591">
        <v>61</v>
      </c>
      <c r="I258" s="393"/>
      <c r="J258" s="393" t="s">
        <v>1843</v>
      </c>
      <c r="K258" s="397">
        <v>46387</v>
      </c>
      <c r="L258" s="438" t="s">
        <v>1864</v>
      </c>
      <c r="M258" s="439"/>
      <c r="N258" s="646" t="s">
        <v>1865</v>
      </c>
    </row>
    <row r="259" spans="1:14" s="626" customFormat="1" ht="13" hidden="1" x14ac:dyDescent="0.3">
      <c r="A259" s="618" t="s">
        <v>150</v>
      </c>
      <c r="B259" s="619"/>
      <c r="C259" s="620" t="s">
        <v>1866</v>
      </c>
      <c r="D259" s="621" t="s">
        <v>1859</v>
      </c>
      <c r="E259" s="622" t="s">
        <v>1649</v>
      </c>
      <c r="F259" s="623"/>
      <c r="G259" s="624" t="s">
        <v>1867</v>
      </c>
      <c r="H259" s="624" t="s">
        <v>1868</v>
      </c>
      <c r="I259" s="623"/>
      <c r="J259" s="623" t="s">
        <v>1843</v>
      </c>
      <c r="K259" s="397">
        <v>46387</v>
      </c>
      <c r="L259" s="625" t="s">
        <v>1869</v>
      </c>
      <c r="M259" s="623"/>
      <c r="N259" s="647" t="s">
        <v>1870</v>
      </c>
    </row>
    <row r="260" spans="1:14" s="626" customFormat="1" ht="13" hidden="1" x14ac:dyDescent="0.3">
      <c r="A260" s="627" t="s">
        <v>134</v>
      </c>
      <c r="B260" s="619"/>
      <c r="C260" s="620" t="s">
        <v>425</v>
      </c>
      <c r="D260" s="621" t="s">
        <v>1859</v>
      </c>
      <c r="E260" s="622" t="s">
        <v>1649</v>
      </c>
      <c r="F260" s="623"/>
      <c r="G260" s="624" t="s">
        <v>1871</v>
      </c>
      <c r="H260" s="624" t="s">
        <v>1872</v>
      </c>
      <c r="I260" s="623"/>
      <c r="J260" s="623" t="s">
        <v>1843</v>
      </c>
      <c r="K260" s="397">
        <v>46387</v>
      </c>
      <c r="L260" s="625" t="s">
        <v>1869</v>
      </c>
      <c r="M260" s="623"/>
      <c r="N260" s="647" t="s">
        <v>1870</v>
      </c>
    </row>
    <row r="261" spans="1:14" s="626" customFormat="1" ht="13" hidden="1" x14ac:dyDescent="0.3">
      <c r="A261" s="618" t="s">
        <v>161</v>
      </c>
      <c r="B261" s="619"/>
      <c r="C261" s="620" t="s">
        <v>1873</v>
      </c>
      <c r="D261" s="621" t="s">
        <v>1859</v>
      </c>
      <c r="E261" s="622" t="s">
        <v>1649</v>
      </c>
      <c r="F261" s="623"/>
      <c r="G261" s="624" t="s">
        <v>1874</v>
      </c>
      <c r="H261" s="624" t="s">
        <v>1875</v>
      </c>
      <c r="I261" s="623"/>
      <c r="J261" s="623" t="s">
        <v>1843</v>
      </c>
      <c r="K261" s="397">
        <v>46387</v>
      </c>
      <c r="L261" s="625" t="s">
        <v>1869</v>
      </c>
      <c r="M261" s="623"/>
      <c r="N261" s="647" t="s">
        <v>1870</v>
      </c>
    </row>
    <row r="262" spans="1:14" s="626" customFormat="1" ht="13" hidden="1" x14ac:dyDescent="0.3">
      <c r="A262" s="618" t="s">
        <v>165</v>
      </c>
      <c r="B262" s="619"/>
      <c r="C262" s="620" t="s">
        <v>419</v>
      </c>
      <c r="D262" s="621" t="s">
        <v>1859</v>
      </c>
      <c r="E262" s="622" t="s">
        <v>1649</v>
      </c>
      <c r="F262" s="623"/>
      <c r="G262" s="624" t="s">
        <v>1876</v>
      </c>
      <c r="H262" s="624" t="s">
        <v>1877</v>
      </c>
      <c r="I262" s="623"/>
      <c r="J262" s="623" t="s">
        <v>1843</v>
      </c>
      <c r="K262" s="397">
        <v>46387</v>
      </c>
      <c r="L262" s="625" t="s">
        <v>1869</v>
      </c>
      <c r="M262" s="623"/>
      <c r="N262" s="647" t="s">
        <v>1878</v>
      </c>
    </row>
    <row r="263" spans="1:14" s="626" customFormat="1" ht="13" hidden="1" x14ac:dyDescent="0.3">
      <c r="A263" s="627" t="s">
        <v>168</v>
      </c>
      <c r="B263" s="619"/>
      <c r="C263" s="620" t="s">
        <v>952</v>
      </c>
      <c r="D263" s="621" t="s">
        <v>1859</v>
      </c>
      <c r="E263" s="622" t="s">
        <v>1649</v>
      </c>
      <c r="F263" s="623"/>
      <c r="G263" s="624" t="s">
        <v>1879</v>
      </c>
      <c r="H263" s="624" t="s">
        <v>1880</v>
      </c>
      <c r="I263" s="623"/>
      <c r="J263" s="623" t="s">
        <v>1843</v>
      </c>
      <c r="K263" s="397">
        <v>46387</v>
      </c>
      <c r="L263" s="625" t="s">
        <v>1869</v>
      </c>
      <c r="M263" s="623"/>
      <c r="N263" s="647" t="s">
        <v>1878</v>
      </c>
    </row>
    <row r="264" spans="1:14" s="626" customFormat="1" ht="13" hidden="1" x14ac:dyDescent="0.3">
      <c r="A264" s="627" t="s">
        <v>176</v>
      </c>
      <c r="B264" s="619"/>
      <c r="C264" s="620" t="s">
        <v>1881</v>
      </c>
      <c r="D264" s="621" t="s">
        <v>1859</v>
      </c>
      <c r="E264" s="622" t="s">
        <v>1649</v>
      </c>
      <c r="F264" s="623"/>
      <c r="G264" s="624" t="s">
        <v>1882</v>
      </c>
      <c r="H264" s="624" t="s">
        <v>1883</v>
      </c>
      <c r="I264" s="623"/>
      <c r="J264" s="623" t="s">
        <v>1843</v>
      </c>
      <c r="K264" s="397">
        <v>46387</v>
      </c>
      <c r="L264" s="625" t="s">
        <v>1869</v>
      </c>
      <c r="M264" s="623"/>
      <c r="N264" s="647" t="s">
        <v>1878</v>
      </c>
    </row>
    <row r="265" spans="1:14" s="626" customFormat="1" ht="13" hidden="1" x14ac:dyDescent="0.3">
      <c r="A265" s="618" t="s">
        <v>184</v>
      </c>
      <c r="B265" s="619"/>
      <c r="C265" s="620" t="s">
        <v>1884</v>
      </c>
      <c r="D265" s="621" t="s">
        <v>1859</v>
      </c>
      <c r="E265" s="622" t="s">
        <v>1649</v>
      </c>
      <c r="F265" s="623"/>
      <c r="G265" s="624" t="s">
        <v>1885</v>
      </c>
      <c r="H265" s="624" t="s">
        <v>1886</v>
      </c>
      <c r="I265" s="623"/>
      <c r="J265" s="623" t="s">
        <v>1843</v>
      </c>
      <c r="K265" s="397">
        <v>46387</v>
      </c>
      <c r="L265" s="625" t="s">
        <v>1869</v>
      </c>
      <c r="M265" s="623"/>
      <c r="N265" s="647" t="s">
        <v>1878</v>
      </c>
    </row>
    <row r="266" spans="1:14" s="626" customFormat="1" ht="13" hidden="1" x14ac:dyDescent="0.3">
      <c r="A266" s="618" t="s">
        <v>188</v>
      </c>
      <c r="B266" s="619"/>
      <c r="C266" s="620" t="s">
        <v>1887</v>
      </c>
      <c r="D266" s="621" t="s">
        <v>1859</v>
      </c>
      <c r="E266" s="622" t="s">
        <v>1649</v>
      </c>
      <c r="F266" s="623"/>
      <c r="G266" s="624" t="s">
        <v>1888</v>
      </c>
      <c r="H266" s="624" t="s">
        <v>1889</v>
      </c>
      <c r="I266" s="623"/>
      <c r="J266" s="623" t="s">
        <v>1843</v>
      </c>
      <c r="K266" s="397">
        <v>46387</v>
      </c>
      <c r="L266" s="625" t="s">
        <v>1869</v>
      </c>
      <c r="M266" s="623"/>
      <c r="N266" s="647" t="s">
        <v>1878</v>
      </c>
    </row>
    <row r="267" spans="1:14" s="626" customFormat="1" ht="13" hidden="1" x14ac:dyDescent="0.3">
      <c r="A267" s="618" t="s">
        <v>192</v>
      </c>
      <c r="B267" s="619"/>
      <c r="C267" s="620" t="s">
        <v>1890</v>
      </c>
      <c r="D267" s="621" t="s">
        <v>1859</v>
      </c>
      <c r="E267" s="622" t="s">
        <v>1649</v>
      </c>
      <c r="F267" s="623"/>
      <c r="G267" s="624" t="s">
        <v>1891</v>
      </c>
      <c r="H267" s="624" t="s">
        <v>1892</v>
      </c>
      <c r="I267" s="623"/>
      <c r="J267" s="623" t="s">
        <v>1843</v>
      </c>
      <c r="K267" s="397">
        <v>46387</v>
      </c>
      <c r="L267" s="625" t="s">
        <v>1869</v>
      </c>
      <c r="M267" s="623"/>
      <c r="N267" s="647" t="s">
        <v>1878</v>
      </c>
    </row>
    <row r="268" spans="1:14" s="626" customFormat="1" ht="13" hidden="1" x14ac:dyDescent="0.3">
      <c r="A268" s="627">
        <v>13.01</v>
      </c>
      <c r="B268" s="619"/>
      <c r="C268" s="620" t="s">
        <v>1893</v>
      </c>
      <c r="D268" s="621" t="s">
        <v>1859</v>
      </c>
      <c r="E268" s="622" t="s">
        <v>1649</v>
      </c>
      <c r="F268" s="623"/>
      <c r="G268" s="624" t="s">
        <v>1894</v>
      </c>
      <c r="H268" s="624" t="s">
        <v>1895</v>
      </c>
      <c r="I268" s="623"/>
      <c r="J268" s="623" t="s">
        <v>1843</v>
      </c>
      <c r="K268" s="397">
        <v>46387</v>
      </c>
      <c r="L268" s="625" t="s">
        <v>1869</v>
      </c>
      <c r="M268" s="623"/>
      <c r="N268" s="647" t="s">
        <v>1878</v>
      </c>
    </row>
    <row r="269" spans="1:14" s="626" customFormat="1" ht="13" hidden="1" x14ac:dyDescent="0.3">
      <c r="A269" s="627">
        <v>13.05</v>
      </c>
      <c r="B269" s="619"/>
      <c r="C269" s="620" t="s">
        <v>1896</v>
      </c>
      <c r="D269" s="621" t="s">
        <v>1859</v>
      </c>
      <c r="E269" s="622" t="s">
        <v>1649</v>
      </c>
      <c r="F269" s="623"/>
      <c r="G269" s="624" t="s">
        <v>1897</v>
      </c>
      <c r="H269" s="624" t="s">
        <v>1898</v>
      </c>
      <c r="I269" s="623"/>
      <c r="J269" s="623" t="s">
        <v>1843</v>
      </c>
      <c r="K269" s="397">
        <v>46387</v>
      </c>
      <c r="L269" s="625" t="s">
        <v>1869</v>
      </c>
      <c r="M269" s="623"/>
      <c r="N269" s="647" t="s">
        <v>1878</v>
      </c>
    </row>
    <row r="270" spans="1:14" s="626" customFormat="1" ht="13" hidden="1" x14ac:dyDescent="0.3">
      <c r="A270" s="627">
        <v>14.01</v>
      </c>
      <c r="B270" s="619"/>
      <c r="C270" s="620" t="s">
        <v>1899</v>
      </c>
      <c r="D270" s="621" t="s">
        <v>1859</v>
      </c>
      <c r="E270" s="622" t="s">
        <v>1649</v>
      </c>
      <c r="F270" s="623"/>
      <c r="G270" s="624" t="s">
        <v>1900</v>
      </c>
      <c r="H270" s="624" t="s">
        <v>1901</v>
      </c>
      <c r="I270" s="623"/>
      <c r="J270" s="623" t="s">
        <v>1843</v>
      </c>
      <c r="K270" s="397">
        <v>46387</v>
      </c>
      <c r="L270" s="625" t="s">
        <v>1869</v>
      </c>
      <c r="M270" s="623"/>
      <c r="N270" s="647" t="s">
        <v>1878</v>
      </c>
    </row>
    <row r="271" spans="1:14" s="626" customFormat="1" ht="13" hidden="1" x14ac:dyDescent="0.3">
      <c r="A271" s="627">
        <v>15.01</v>
      </c>
      <c r="B271" s="619"/>
      <c r="C271" s="620" t="s">
        <v>1902</v>
      </c>
      <c r="D271" s="621" t="s">
        <v>1859</v>
      </c>
      <c r="E271" s="622" t="s">
        <v>1649</v>
      </c>
      <c r="F271" s="623"/>
      <c r="G271" s="624" t="s">
        <v>1903</v>
      </c>
      <c r="H271" s="624" t="s">
        <v>1904</v>
      </c>
      <c r="I271" s="623"/>
      <c r="J271" s="623" t="s">
        <v>1843</v>
      </c>
      <c r="K271" s="397">
        <v>46387</v>
      </c>
      <c r="L271" s="625" t="s">
        <v>1869</v>
      </c>
      <c r="M271" s="623"/>
      <c r="N271" s="647" t="s">
        <v>1878</v>
      </c>
    </row>
    <row r="272" spans="1:14" s="626" customFormat="1" ht="13" hidden="1" x14ac:dyDescent="0.3">
      <c r="A272" s="627">
        <v>22.007558</v>
      </c>
      <c r="B272" s="619"/>
      <c r="C272" s="620" t="s">
        <v>1905</v>
      </c>
      <c r="D272" s="621" t="s">
        <v>1859</v>
      </c>
      <c r="E272" s="622" t="s">
        <v>1649</v>
      </c>
      <c r="F272" s="623"/>
      <c r="G272" s="624" t="s">
        <v>1906</v>
      </c>
      <c r="H272" s="624" t="s">
        <v>1907</v>
      </c>
      <c r="I272" s="623"/>
      <c r="J272" s="623" t="s">
        <v>1843</v>
      </c>
      <c r="K272" s="397">
        <v>46387</v>
      </c>
      <c r="L272" s="625" t="s">
        <v>1869</v>
      </c>
      <c r="M272" s="623"/>
      <c r="N272" s="647" t="s">
        <v>1878</v>
      </c>
    </row>
    <row r="273" spans="1:14" s="626" customFormat="1" ht="13" hidden="1" x14ac:dyDescent="0.3">
      <c r="A273" s="627">
        <v>22.037474</v>
      </c>
      <c r="B273" s="619"/>
      <c r="C273" s="620" t="s">
        <v>83</v>
      </c>
      <c r="D273" s="621" t="s">
        <v>1859</v>
      </c>
      <c r="E273" s="622" t="s">
        <v>1649</v>
      </c>
      <c r="F273" s="623"/>
      <c r="G273" s="624" t="s">
        <v>1908</v>
      </c>
      <c r="H273" s="624" t="s">
        <v>1909</v>
      </c>
      <c r="I273" s="623"/>
      <c r="J273" s="623" t="s">
        <v>1843</v>
      </c>
      <c r="K273" s="397">
        <v>46387</v>
      </c>
      <c r="L273" s="625" t="s">
        <v>1869</v>
      </c>
      <c r="M273" s="623"/>
      <c r="N273" s="647" t="s">
        <v>1878</v>
      </c>
    </row>
    <row r="274" spans="1:14" s="626" customFormat="1" ht="13" hidden="1" x14ac:dyDescent="0.3">
      <c r="A274" s="627">
        <v>22.087305000000001</v>
      </c>
      <c r="B274" s="619"/>
      <c r="C274" s="620" t="s">
        <v>1910</v>
      </c>
      <c r="D274" s="621" t="s">
        <v>1859</v>
      </c>
      <c r="E274" s="622" t="s">
        <v>1649</v>
      </c>
      <c r="F274" s="623"/>
      <c r="G274" s="624" t="s">
        <v>1911</v>
      </c>
      <c r="H274" s="624" t="s">
        <v>1912</v>
      </c>
      <c r="I274" s="623"/>
      <c r="J274" s="623" t="s">
        <v>1843</v>
      </c>
      <c r="K274" s="397">
        <v>46387</v>
      </c>
      <c r="L274" s="625" t="s">
        <v>1869</v>
      </c>
      <c r="M274" s="623"/>
      <c r="N274" s="647" t="s">
        <v>1878</v>
      </c>
    </row>
    <row r="275" spans="1:14" s="626" customFormat="1" ht="13" hidden="1" x14ac:dyDescent="0.3">
      <c r="A275" s="627">
        <v>23.06</v>
      </c>
      <c r="B275" s="619"/>
      <c r="C275" s="620" t="s">
        <v>1913</v>
      </c>
      <c r="D275" s="621" t="s">
        <v>1859</v>
      </c>
      <c r="E275" s="622" t="s">
        <v>1649</v>
      </c>
      <c r="F275" s="623"/>
      <c r="G275" s="624" t="s">
        <v>1914</v>
      </c>
      <c r="H275" s="624" t="s">
        <v>1915</v>
      </c>
      <c r="I275" s="623"/>
      <c r="J275" s="623" t="s">
        <v>1843</v>
      </c>
      <c r="K275" s="397">
        <v>46387</v>
      </c>
      <c r="L275" s="625" t="s">
        <v>1869</v>
      </c>
      <c r="M275" s="623"/>
      <c r="N275" s="647" t="s">
        <v>1878</v>
      </c>
    </row>
    <row r="276" spans="1:14" s="626" customFormat="1" ht="13" hidden="1" x14ac:dyDescent="0.3">
      <c r="A276" s="627">
        <v>29.01</v>
      </c>
      <c r="B276" s="619"/>
      <c r="C276" s="620" t="s">
        <v>1916</v>
      </c>
      <c r="D276" s="621" t="s">
        <v>1859</v>
      </c>
      <c r="E276" s="622" t="s">
        <v>1649</v>
      </c>
      <c r="F276" s="623"/>
      <c r="G276" s="624" t="s">
        <v>1917</v>
      </c>
      <c r="H276" s="624" t="s">
        <v>1918</v>
      </c>
      <c r="I276" s="623"/>
      <c r="J276" s="623" t="s">
        <v>1843</v>
      </c>
      <c r="K276" s="397">
        <v>46387</v>
      </c>
      <c r="L276" s="625" t="s">
        <v>1869</v>
      </c>
      <c r="M276" s="623"/>
      <c r="N276" s="647" t="s">
        <v>1878</v>
      </c>
    </row>
    <row r="277" spans="1:14" s="626" customFormat="1" ht="13" hidden="1" x14ac:dyDescent="0.3">
      <c r="A277" s="627">
        <v>31.08</v>
      </c>
      <c r="B277" s="619"/>
      <c r="C277" s="620" t="s">
        <v>665</v>
      </c>
      <c r="D277" s="621" t="s">
        <v>1859</v>
      </c>
      <c r="E277" s="622" t="s">
        <v>1649</v>
      </c>
      <c r="F277" s="623"/>
      <c r="G277" s="624" t="s">
        <v>1919</v>
      </c>
      <c r="H277" s="624" t="s">
        <v>1920</v>
      </c>
      <c r="I277" s="623"/>
      <c r="J277" s="623" t="s">
        <v>1843</v>
      </c>
      <c r="K277" s="397">
        <v>46387</v>
      </c>
      <c r="L277" s="625" t="s">
        <v>1869</v>
      </c>
      <c r="M277" s="623"/>
      <c r="N277" s="647" t="s">
        <v>1921</v>
      </c>
    </row>
    <row r="278" spans="1:14" s="626" customFormat="1" ht="13" hidden="1" x14ac:dyDescent="0.3">
      <c r="A278" s="627">
        <v>31.097472</v>
      </c>
      <c r="B278" s="619"/>
      <c r="C278" s="620" t="s">
        <v>1922</v>
      </c>
      <c r="D278" s="621" t="s">
        <v>1859</v>
      </c>
      <c r="E278" s="622" t="s">
        <v>1649</v>
      </c>
      <c r="F278" s="623"/>
      <c r="G278" s="624" t="s">
        <v>1923</v>
      </c>
      <c r="H278" s="624" t="s">
        <v>1924</v>
      </c>
      <c r="I278" s="623"/>
      <c r="J278" s="642" t="s">
        <v>1843</v>
      </c>
      <c r="K278" s="397">
        <v>46387</v>
      </c>
      <c r="L278" s="625" t="s">
        <v>1869</v>
      </c>
      <c r="M278" s="623"/>
      <c r="N278" s="647" t="s">
        <v>1878</v>
      </c>
    </row>
    <row r="279" spans="1:14" s="626" customFormat="1" ht="13" hidden="1" x14ac:dyDescent="0.3">
      <c r="A279" s="627">
        <v>31.097550999999999</v>
      </c>
      <c r="B279" s="619"/>
      <c r="C279" s="620" t="s">
        <v>1010</v>
      </c>
      <c r="D279" s="621" t="s">
        <v>1859</v>
      </c>
      <c r="E279" s="622" t="s">
        <v>1649</v>
      </c>
      <c r="F279" s="623"/>
      <c r="G279" s="624" t="s">
        <v>1925</v>
      </c>
      <c r="H279" s="624" t="s">
        <v>1926</v>
      </c>
      <c r="I279" s="623"/>
      <c r="J279" s="642" t="s">
        <v>1843</v>
      </c>
      <c r="K279" s="397">
        <v>46387</v>
      </c>
      <c r="L279" s="625" t="s">
        <v>1869</v>
      </c>
      <c r="M279" s="623"/>
      <c r="N279" s="647" t="s">
        <v>1878</v>
      </c>
    </row>
    <row r="280" spans="1:14" s="626" customFormat="1" ht="13" hidden="1" x14ac:dyDescent="0.3">
      <c r="A280" s="627">
        <v>31.22</v>
      </c>
      <c r="B280" s="619"/>
      <c r="C280" s="620" t="s">
        <v>1927</v>
      </c>
      <c r="D280" s="621" t="s">
        <v>1859</v>
      </c>
      <c r="E280" s="622" t="s">
        <v>1649</v>
      </c>
      <c r="F280" s="623"/>
      <c r="G280" s="624" t="s">
        <v>1928</v>
      </c>
      <c r="H280" s="624" t="s">
        <v>1929</v>
      </c>
      <c r="I280" s="623"/>
      <c r="J280" s="642" t="s">
        <v>1843</v>
      </c>
      <c r="K280" s="397">
        <v>46387</v>
      </c>
      <c r="L280" s="625" t="s">
        <v>1869</v>
      </c>
      <c r="M280" s="623"/>
      <c r="N280" s="647" t="s">
        <v>1921</v>
      </c>
    </row>
    <row r="281" spans="1:14" s="626" customFormat="1" ht="13" hidden="1" x14ac:dyDescent="0.3">
      <c r="A281" s="627">
        <v>31.28</v>
      </c>
      <c r="B281" s="619"/>
      <c r="C281" s="620" t="s">
        <v>1930</v>
      </c>
      <c r="D281" s="621" t="s">
        <v>1859</v>
      </c>
      <c r="E281" s="622" t="s">
        <v>1649</v>
      </c>
      <c r="F281" s="623"/>
      <c r="G281" s="624" t="s">
        <v>1931</v>
      </c>
      <c r="H281" s="624" t="s">
        <v>1932</v>
      </c>
      <c r="I281" s="623"/>
      <c r="J281" s="642" t="s">
        <v>1843</v>
      </c>
      <c r="K281" s="397">
        <v>46387</v>
      </c>
      <c r="L281" s="625" t="s">
        <v>1869</v>
      </c>
      <c r="M281" s="623"/>
      <c r="N281" s="647" t="s">
        <v>1878</v>
      </c>
    </row>
    <row r="282" spans="1:14" s="626" customFormat="1" ht="13" hidden="1" x14ac:dyDescent="0.3">
      <c r="A282" s="627">
        <v>34.020000000000003</v>
      </c>
      <c r="B282" s="619"/>
      <c r="C282" s="620" t="s">
        <v>1933</v>
      </c>
      <c r="D282" s="621" t="s">
        <v>1859</v>
      </c>
      <c r="E282" s="622" t="s">
        <v>1649</v>
      </c>
      <c r="F282" s="623"/>
      <c r="G282" s="624" t="s">
        <v>1934</v>
      </c>
      <c r="H282" s="624" t="s">
        <v>1935</v>
      </c>
      <c r="I282" s="623"/>
      <c r="J282" s="642" t="s">
        <v>1843</v>
      </c>
      <c r="K282" s="397">
        <v>46387</v>
      </c>
      <c r="L282" s="625" t="s">
        <v>1869</v>
      </c>
      <c r="M282" s="623"/>
      <c r="N282" s="647" t="s">
        <v>1878</v>
      </c>
    </row>
    <row r="283" spans="1:14" s="626" customFormat="1" ht="13" hidden="1" x14ac:dyDescent="0.3">
      <c r="A283" s="627">
        <v>49.13</v>
      </c>
      <c r="B283" s="619"/>
      <c r="C283" s="620" t="s">
        <v>1701</v>
      </c>
      <c r="D283" s="621" t="s">
        <v>1859</v>
      </c>
      <c r="E283" s="622" t="s">
        <v>1649</v>
      </c>
      <c r="F283" s="623"/>
      <c r="G283" s="624" t="s">
        <v>1936</v>
      </c>
      <c r="H283" s="624" t="s">
        <v>1937</v>
      </c>
      <c r="I283" s="623"/>
      <c r="J283" s="642" t="s">
        <v>1843</v>
      </c>
      <c r="K283" s="397">
        <v>46387</v>
      </c>
      <c r="L283" s="625" t="s">
        <v>1869</v>
      </c>
      <c r="M283" s="623"/>
      <c r="N283" s="647" t="s">
        <v>1878</v>
      </c>
    </row>
    <row r="284" spans="1:14" s="626" customFormat="1" ht="13" hidden="1" x14ac:dyDescent="0.3">
      <c r="A284" s="627">
        <v>51.44</v>
      </c>
      <c r="B284" s="619"/>
      <c r="C284" s="620" t="s">
        <v>1938</v>
      </c>
      <c r="D284" s="621" t="s">
        <v>1859</v>
      </c>
      <c r="E284" s="622" t="s">
        <v>1649</v>
      </c>
      <c r="F284" s="623"/>
      <c r="G284" s="624" t="s">
        <v>1939</v>
      </c>
      <c r="H284" s="624" t="s">
        <v>1940</v>
      </c>
      <c r="I284" s="623"/>
      <c r="J284" s="642" t="s">
        <v>1843</v>
      </c>
      <c r="K284" s="397">
        <v>46387</v>
      </c>
      <c r="L284" s="625" t="s">
        <v>1869</v>
      </c>
      <c r="M284" s="623"/>
      <c r="N284" s="647" t="s">
        <v>1878</v>
      </c>
    </row>
    <row r="285" spans="1:14" s="626" customFormat="1" ht="13" x14ac:dyDescent="0.3">
      <c r="A285" s="627">
        <v>55.097493</v>
      </c>
      <c r="B285" s="619"/>
      <c r="C285" s="620" t="s">
        <v>1941</v>
      </c>
      <c r="D285" s="621" t="s">
        <v>1859</v>
      </c>
      <c r="E285" s="622" t="s">
        <v>1649</v>
      </c>
      <c r="F285" s="623"/>
      <c r="G285" s="624" t="s">
        <v>1942</v>
      </c>
      <c r="H285" s="624" t="s">
        <v>1943</v>
      </c>
      <c r="I285" s="623"/>
      <c r="J285" s="642" t="s">
        <v>1843</v>
      </c>
      <c r="K285" s="397">
        <v>46387</v>
      </c>
      <c r="L285" s="625" t="s">
        <v>1869</v>
      </c>
      <c r="M285" s="623"/>
      <c r="N285" s="647" t="s">
        <v>1878</v>
      </c>
    </row>
    <row r="286" spans="1:14" s="626" customFormat="1" ht="13" hidden="1" x14ac:dyDescent="0.3">
      <c r="A286" s="627">
        <v>70.040000000000006</v>
      </c>
      <c r="B286" s="619"/>
      <c r="C286" s="620" t="s">
        <v>845</v>
      </c>
      <c r="D286" s="621" t="s">
        <v>1859</v>
      </c>
      <c r="E286" s="622" t="s">
        <v>1649</v>
      </c>
      <c r="F286" s="623"/>
      <c r="G286" s="624" t="s">
        <v>1944</v>
      </c>
      <c r="H286" s="624" t="s">
        <v>1945</v>
      </c>
      <c r="I286" s="623"/>
      <c r="J286" s="642" t="s">
        <v>1843</v>
      </c>
      <c r="K286" s="397">
        <v>46387</v>
      </c>
      <c r="L286" s="625" t="s">
        <v>1869</v>
      </c>
      <c r="M286" s="623"/>
      <c r="N286" s="647" t="s">
        <v>1878</v>
      </c>
    </row>
    <row r="287" spans="1:14" s="626" customFormat="1" ht="13" hidden="1" x14ac:dyDescent="0.3">
      <c r="A287" s="627">
        <v>70.097447000000003</v>
      </c>
      <c r="B287" s="619"/>
      <c r="C287" s="620" t="s">
        <v>1946</v>
      </c>
      <c r="D287" s="621" t="s">
        <v>1859</v>
      </c>
      <c r="E287" s="622" t="s">
        <v>1649</v>
      </c>
      <c r="F287" s="623"/>
      <c r="G287" s="624" t="s">
        <v>1925</v>
      </c>
      <c r="H287" s="624" t="s">
        <v>1926</v>
      </c>
      <c r="I287" s="623"/>
      <c r="J287" s="642" t="s">
        <v>1843</v>
      </c>
      <c r="K287" s="397">
        <v>46387</v>
      </c>
      <c r="L287" s="625" t="s">
        <v>1869</v>
      </c>
      <c r="M287" s="623"/>
      <c r="N287" s="647" t="s">
        <v>1878</v>
      </c>
    </row>
    <row r="288" spans="1:14" s="626" customFormat="1" ht="13" hidden="1" x14ac:dyDescent="0.3">
      <c r="A288" s="627" t="s">
        <v>196</v>
      </c>
      <c r="B288" s="619"/>
      <c r="C288" s="620" t="s">
        <v>1947</v>
      </c>
      <c r="D288" s="621" t="s">
        <v>1859</v>
      </c>
      <c r="E288" s="622" t="s">
        <v>1649</v>
      </c>
      <c r="F288" s="623"/>
      <c r="G288" s="624" t="s">
        <v>1948</v>
      </c>
      <c r="H288" s="624" t="s">
        <v>1949</v>
      </c>
      <c r="I288" s="623"/>
      <c r="J288" s="642" t="s">
        <v>1843</v>
      </c>
      <c r="K288" s="397">
        <v>46387</v>
      </c>
      <c r="L288" s="625" t="s">
        <v>1869</v>
      </c>
      <c r="M288" s="623"/>
      <c r="N288" s="647" t="s">
        <v>1878</v>
      </c>
    </row>
    <row r="289" spans="1:14" s="626" customFormat="1" ht="13" hidden="1" x14ac:dyDescent="0.3">
      <c r="A289" s="627" t="s">
        <v>222</v>
      </c>
      <c r="B289" s="619"/>
      <c r="C289" s="620" t="s">
        <v>1674</v>
      </c>
      <c r="D289" s="621" t="s">
        <v>1859</v>
      </c>
      <c r="E289" s="622" t="s">
        <v>1649</v>
      </c>
      <c r="F289" s="623"/>
      <c r="G289" s="624" t="s">
        <v>1950</v>
      </c>
      <c r="H289" s="624" t="s">
        <v>1951</v>
      </c>
      <c r="I289" s="623"/>
      <c r="J289" s="642" t="s">
        <v>1843</v>
      </c>
      <c r="K289" s="397">
        <v>46387</v>
      </c>
      <c r="L289" s="625" t="s">
        <v>1869</v>
      </c>
      <c r="M289" s="623"/>
      <c r="N289" s="647" t="s">
        <v>1878</v>
      </c>
    </row>
    <row r="290" spans="1:14" s="626" customFormat="1" ht="13" hidden="1" x14ac:dyDescent="0.3">
      <c r="A290" s="627" t="s">
        <v>229</v>
      </c>
      <c r="B290" s="619"/>
      <c r="C290" s="620" t="s">
        <v>1952</v>
      </c>
      <c r="D290" s="621" t="s">
        <v>1859</v>
      </c>
      <c r="E290" s="622" t="s">
        <v>1649</v>
      </c>
      <c r="F290" s="623"/>
      <c r="G290" s="624" t="s">
        <v>1885</v>
      </c>
      <c r="H290" s="624" t="s">
        <v>1886</v>
      </c>
      <c r="I290" s="623"/>
      <c r="J290" s="642" t="s">
        <v>1843</v>
      </c>
      <c r="K290" s="397">
        <v>46387</v>
      </c>
      <c r="L290" s="625" t="s">
        <v>1869</v>
      </c>
      <c r="M290" s="623"/>
      <c r="N290" s="647" t="s">
        <v>1878</v>
      </c>
    </row>
    <row r="291" spans="1:14" s="626" customFormat="1" ht="13" hidden="1" x14ac:dyDescent="0.3">
      <c r="A291" s="627" t="s">
        <v>233</v>
      </c>
      <c r="B291" s="619"/>
      <c r="C291" s="620" t="s">
        <v>1953</v>
      </c>
      <c r="D291" s="621" t="s">
        <v>1859</v>
      </c>
      <c r="E291" s="622" t="s">
        <v>1649</v>
      </c>
      <c r="F291" s="623"/>
      <c r="G291" s="624" t="s">
        <v>1954</v>
      </c>
      <c r="H291" s="624" t="s">
        <v>1955</v>
      </c>
      <c r="I291" s="623"/>
      <c r="J291" s="642" t="s">
        <v>1843</v>
      </c>
      <c r="K291" s="397">
        <v>46387</v>
      </c>
      <c r="L291" s="625" t="s">
        <v>1869</v>
      </c>
      <c r="M291" s="623"/>
      <c r="N291" s="647" t="s">
        <v>1878</v>
      </c>
    </row>
    <row r="292" spans="1:14" s="626" customFormat="1" ht="13" hidden="1" x14ac:dyDescent="0.3">
      <c r="A292" s="627" t="s">
        <v>81</v>
      </c>
      <c r="B292" s="619"/>
      <c r="C292" s="620" t="s">
        <v>548</v>
      </c>
      <c r="D292" s="621" t="s">
        <v>1859</v>
      </c>
      <c r="E292" s="622" t="s">
        <v>1649</v>
      </c>
      <c r="F292" s="623"/>
      <c r="G292" s="624" t="s">
        <v>1956</v>
      </c>
      <c r="H292" s="624" t="s">
        <v>1957</v>
      </c>
      <c r="I292" s="623"/>
      <c r="J292" s="642" t="s">
        <v>1843</v>
      </c>
      <c r="K292" s="397">
        <v>46387</v>
      </c>
      <c r="L292" s="625" t="s">
        <v>1869</v>
      </c>
      <c r="M292" s="623"/>
      <c r="N292" s="647" t="s">
        <v>1878</v>
      </c>
    </row>
    <row r="293" spans="1:14" s="626" customFormat="1" ht="13" hidden="1" x14ac:dyDescent="0.3">
      <c r="A293" s="627" t="s">
        <v>235</v>
      </c>
      <c r="B293" s="619"/>
      <c r="C293" s="620" t="s">
        <v>1958</v>
      </c>
      <c r="D293" s="621" t="s">
        <v>1859</v>
      </c>
      <c r="E293" s="622" t="s">
        <v>1649</v>
      </c>
      <c r="F293" s="623"/>
      <c r="G293" s="624" t="s">
        <v>1954</v>
      </c>
      <c r="H293" s="624" t="s">
        <v>1955</v>
      </c>
      <c r="I293" s="623"/>
      <c r="J293" s="642" t="s">
        <v>1843</v>
      </c>
      <c r="K293" s="397">
        <v>46387</v>
      </c>
      <c r="L293" s="625" t="s">
        <v>1869</v>
      </c>
      <c r="M293" s="623"/>
      <c r="N293" s="647" t="s">
        <v>1878</v>
      </c>
    </row>
    <row r="294" spans="1:14" s="626" customFormat="1" ht="13" hidden="1" x14ac:dyDescent="0.3">
      <c r="A294" s="627" t="s">
        <v>241</v>
      </c>
      <c r="B294" s="619"/>
      <c r="C294" s="620" t="s">
        <v>1959</v>
      </c>
      <c r="D294" s="621" t="s">
        <v>1859</v>
      </c>
      <c r="E294" s="622" t="s">
        <v>1649</v>
      </c>
      <c r="F294" s="623"/>
      <c r="G294" s="624" t="s">
        <v>1960</v>
      </c>
      <c r="H294" s="624" t="s">
        <v>1961</v>
      </c>
      <c r="I294" s="623"/>
      <c r="J294" s="642" t="s">
        <v>1843</v>
      </c>
      <c r="K294" s="397">
        <v>46387</v>
      </c>
      <c r="L294" s="625" t="s">
        <v>1869</v>
      </c>
      <c r="M294" s="623"/>
      <c r="N294" s="647" t="s">
        <v>1878</v>
      </c>
    </row>
    <row r="295" spans="1:14" s="626" customFormat="1" ht="13" hidden="1" x14ac:dyDescent="0.3">
      <c r="A295" s="627" t="s">
        <v>253</v>
      </c>
      <c r="B295" s="619"/>
      <c r="C295" s="620" t="s">
        <v>1962</v>
      </c>
      <c r="D295" s="621" t="s">
        <v>1859</v>
      </c>
      <c r="E295" s="622" t="s">
        <v>1649</v>
      </c>
      <c r="F295" s="623"/>
      <c r="G295" s="624" t="s">
        <v>1963</v>
      </c>
      <c r="H295" s="624" t="s">
        <v>1964</v>
      </c>
      <c r="I295" s="623"/>
      <c r="J295" s="642" t="s">
        <v>1843</v>
      </c>
      <c r="K295" s="397">
        <v>46387</v>
      </c>
      <c r="L295" s="625" t="s">
        <v>1869</v>
      </c>
      <c r="M295" s="623"/>
      <c r="N295" s="647" t="s">
        <v>1878</v>
      </c>
    </row>
    <row r="296" spans="1:14" s="626" customFormat="1" ht="13" hidden="1" x14ac:dyDescent="0.3">
      <c r="A296" s="627" t="s">
        <v>591</v>
      </c>
      <c r="B296" s="619"/>
      <c r="C296" s="620" t="s">
        <v>592</v>
      </c>
      <c r="D296" s="621" t="s">
        <v>1859</v>
      </c>
      <c r="E296" s="622" t="s">
        <v>1649</v>
      </c>
      <c r="F296" s="623"/>
      <c r="G296" s="624" t="s">
        <v>1875</v>
      </c>
      <c r="H296" s="624" t="s">
        <v>1965</v>
      </c>
      <c r="I296" s="623"/>
      <c r="J296" s="642" t="s">
        <v>1843</v>
      </c>
      <c r="K296" s="397">
        <v>46387</v>
      </c>
      <c r="L296" s="625" t="s">
        <v>1869</v>
      </c>
      <c r="M296" s="623"/>
      <c r="N296" s="647" t="s">
        <v>1878</v>
      </c>
    </row>
    <row r="297" spans="1:14" s="626" customFormat="1" ht="13" hidden="1" x14ac:dyDescent="0.3">
      <c r="A297" s="627" t="s">
        <v>260</v>
      </c>
      <c r="B297" s="619"/>
      <c r="C297" s="620" t="s">
        <v>1966</v>
      </c>
      <c r="D297" s="621" t="s">
        <v>1859</v>
      </c>
      <c r="E297" s="622" t="s">
        <v>1649</v>
      </c>
      <c r="F297" s="623"/>
      <c r="G297" s="624" t="s">
        <v>1868</v>
      </c>
      <c r="H297" s="624" t="s">
        <v>1967</v>
      </c>
      <c r="I297" s="623"/>
      <c r="J297" s="642" t="s">
        <v>1843</v>
      </c>
      <c r="K297" s="397">
        <v>46387</v>
      </c>
      <c r="L297" s="625" t="s">
        <v>1869</v>
      </c>
      <c r="M297" s="623"/>
      <c r="N297" s="647" t="s">
        <v>1878</v>
      </c>
    </row>
    <row r="298" spans="1:14" s="626" customFormat="1" ht="13" hidden="1" x14ac:dyDescent="0.3">
      <c r="A298" s="627" t="s">
        <v>264</v>
      </c>
      <c r="B298" s="619"/>
      <c r="C298" s="620" t="s">
        <v>1968</v>
      </c>
      <c r="D298" s="621" t="s">
        <v>1859</v>
      </c>
      <c r="E298" s="622" t="s">
        <v>1649</v>
      </c>
      <c r="F298" s="623"/>
      <c r="G298" s="624" t="s">
        <v>1969</v>
      </c>
      <c r="H298" s="624" t="s">
        <v>1970</v>
      </c>
      <c r="I298" s="623"/>
      <c r="J298" s="642" t="s">
        <v>1843</v>
      </c>
      <c r="K298" s="397">
        <v>46387</v>
      </c>
      <c r="L298" s="625" t="s">
        <v>1869</v>
      </c>
      <c r="M298" s="623"/>
      <c r="N298" s="647" t="s">
        <v>1878</v>
      </c>
    </row>
    <row r="299" spans="1:14" s="626" customFormat="1" ht="13" hidden="1" x14ac:dyDescent="0.3">
      <c r="A299" s="627" t="s">
        <v>318</v>
      </c>
      <c r="B299" s="619"/>
      <c r="C299" s="620" t="s">
        <v>1971</v>
      </c>
      <c r="D299" s="621" t="s">
        <v>1859</v>
      </c>
      <c r="E299" s="622" t="s">
        <v>1649</v>
      </c>
      <c r="F299" s="623"/>
      <c r="G299" s="624" t="s">
        <v>1972</v>
      </c>
      <c r="H299" s="624" t="s">
        <v>1973</v>
      </c>
      <c r="I299" s="623"/>
      <c r="J299" s="642" t="s">
        <v>1843</v>
      </c>
      <c r="K299" s="397">
        <v>46387</v>
      </c>
      <c r="L299" s="625" t="s">
        <v>1869</v>
      </c>
      <c r="M299" s="623"/>
      <c r="N299" s="647" t="s">
        <v>1878</v>
      </c>
    </row>
    <row r="300" spans="1:14" s="626" customFormat="1" ht="13" hidden="1" x14ac:dyDescent="0.3">
      <c r="A300" s="627" t="s">
        <v>322</v>
      </c>
      <c r="B300" s="619"/>
      <c r="C300" s="620" t="s">
        <v>1974</v>
      </c>
      <c r="D300" s="621" t="s">
        <v>1859</v>
      </c>
      <c r="E300" s="622" t="s">
        <v>1649</v>
      </c>
      <c r="F300" s="623"/>
      <c r="G300" s="624" t="s">
        <v>1945</v>
      </c>
      <c r="H300" s="624" t="s">
        <v>1867</v>
      </c>
      <c r="I300" s="623"/>
      <c r="J300" s="642" t="s">
        <v>1843</v>
      </c>
      <c r="K300" s="397">
        <v>46387</v>
      </c>
      <c r="L300" s="625" t="s">
        <v>1869</v>
      </c>
      <c r="M300" s="623"/>
      <c r="N300" s="647" t="s">
        <v>1878</v>
      </c>
    </row>
    <row r="301" spans="1:14" s="626" customFormat="1" ht="13" hidden="1" x14ac:dyDescent="0.3">
      <c r="A301" s="627" t="s">
        <v>329</v>
      </c>
      <c r="B301" s="619"/>
      <c r="C301" s="620" t="s">
        <v>1975</v>
      </c>
      <c r="D301" s="621" t="s">
        <v>1859</v>
      </c>
      <c r="E301" s="622" t="s">
        <v>1649</v>
      </c>
      <c r="F301" s="623"/>
      <c r="G301" s="624" t="s">
        <v>1955</v>
      </c>
      <c r="H301" s="624" t="s">
        <v>1950</v>
      </c>
      <c r="I301" s="623"/>
      <c r="J301" s="642" t="s">
        <v>1843</v>
      </c>
      <c r="K301" s="397">
        <v>46387</v>
      </c>
      <c r="L301" s="625" t="s">
        <v>1869</v>
      </c>
      <c r="M301" s="623"/>
      <c r="N301" s="647" t="s">
        <v>1878</v>
      </c>
    </row>
    <row r="302" spans="1:14" s="626" customFormat="1" ht="13" hidden="1" x14ac:dyDescent="0.3">
      <c r="A302" s="627" t="s">
        <v>1343</v>
      </c>
      <c r="B302" s="619"/>
      <c r="C302" s="620" t="s">
        <v>1699</v>
      </c>
      <c r="D302" s="621" t="s">
        <v>1859</v>
      </c>
      <c r="E302" s="622" t="s">
        <v>1649</v>
      </c>
      <c r="F302" s="623"/>
      <c r="G302" s="624" t="s">
        <v>1874</v>
      </c>
      <c r="H302" s="624" t="s">
        <v>1875</v>
      </c>
      <c r="I302" s="623"/>
      <c r="J302" s="642" t="s">
        <v>1843</v>
      </c>
      <c r="K302" s="397">
        <v>46387</v>
      </c>
      <c r="L302" s="625" t="s">
        <v>1869</v>
      </c>
      <c r="M302" s="623"/>
      <c r="N302" s="647" t="s">
        <v>1878</v>
      </c>
    </row>
    <row r="303" spans="1:14" s="626" customFormat="1" ht="13" hidden="1" x14ac:dyDescent="0.3">
      <c r="A303" s="627" t="s">
        <v>345</v>
      </c>
      <c r="B303" s="619"/>
      <c r="C303" s="620" t="s">
        <v>1029</v>
      </c>
      <c r="D303" s="621" t="s">
        <v>1859</v>
      </c>
      <c r="E303" s="622" t="s">
        <v>1649</v>
      </c>
      <c r="F303" s="623"/>
      <c r="G303" s="624" t="s">
        <v>1885</v>
      </c>
      <c r="H303" s="624" t="s">
        <v>1886</v>
      </c>
      <c r="I303" s="623"/>
      <c r="J303" s="642" t="s">
        <v>1843</v>
      </c>
      <c r="K303" s="397">
        <v>46387</v>
      </c>
      <c r="L303" s="625" t="s">
        <v>1869</v>
      </c>
      <c r="M303" s="623"/>
      <c r="N303" s="647" t="s">
        <v>1878</v>
      </c>
    </row>
    <row r="304" spans="1:14" s="626" customFormat="1" ht="13" hidden="1" x14ac:dyDescent="0.3">
      <c r="A304" s="627" t="s">
        <v>353</v>
      </c>
      <c r="B304" s="619"/>
      <c r="C304" s="620" t="s">
        <v>1030</v>
      </c>
      <c r="D304" s="621" t="s">
        <v>1859</v>
      </c>
      <c r="E304" s="622" t="s">
        <v>1649</v>
      </c>
      <c r="F304" s="623"/>
      <c r="G304" s="624" t="s">
        <v>1976</v>
      </c>
      <c r="H304" s="624" t="s">
        <v>1977</v>
      </c>
      <c r="I304" s="623"/>
      <c r="J304" s="642" t="s">
        <v>1843</v>
      </c>
      <c r="K304" s="397">
        <v>46387</v>
      </c>
      <c r="L304" s="625" t="s">
        <v>1869</v>
      </c>
      <c r="M304" s="623"/>
      <c r="N304" s="647" t="s">
        <v>1878</v>
      </c>
    </row>
    <row r="305" spans="1:14" s="626" customFormat="1" ht="13" hidden="1" x14ac:dyDescent="0.3">
      <c r="A305" s="627" t="s">
        <v>775</v>
      </c>
      <c r="B305" s="619"/>
      <c r="C305" s="620" t="s">
        <v>776</v>
      </c>
      <c r="D305" s="621" t="s">
        <v>1859</v>
      </c>
      <c r="E305" s="622" t="s">
        <v>1649</v>
      </c>
      <c r="F305" s="623"/>
      <c r="G305" s="624" t="s">
        <v>1925</v>
      </c>
      <c r="H305" s="624" t="s">
        <v>1926</v>
      </c>
      <c r="I305" s="623"/>
      <c r="J305" s="642" t="s">
        <v>1843</v>
      </c>
      <c r="K305" s="397">
        <v>46387</v>
      </c>
      <c r="L305" s="625" t="s">
        <v>1869</v>
      </c>
      <c r="M305" s="623"/>
      <c r="N305" s="647" t="s">
        <v>1878</v>
      </c>
    </row>
    <row r="306" spans="1:14" s="626" customFormat="1" ht="13" hidden="1" x14ac:dyDescent="0.3">
      <c r="A306" s="627" t="s">
        <v>360</v>
      </c>
      <c r="B306" s="619"/>
      <c r="C306" s="620" t="s">
        <v>1978</v>
      </c>
      <c r="D306" s="621" t="s">
        <v>1859</v>
      </c>
      <c r="E306" s="622" t="s">
        <v>1649</v>
      </c>
      <c r="F306" s="623"/>
      <c r="G306" s="624" t="s">
        <v>1979</v>
      </c>
      <c r="H306" s="624" t="s">
        <v>1980</v>
      </c>
      <c r="I306" s="623"/>
      <c r="J306" s="642" t="s">
        <v>1843</v>
      </c>
      <c r="K306" s="397">
        <v>46387</v>
      </c>
      <c r="L306" s="625" t="s">
        <v>1869</v>
      </c>
      <c r="M306" s="623"/>
      <c r="N306" s="647" t="s">
        <v>1878</v>
      </c>
    </row>
    <row r="307" spans="1:14" s="626" customFormat="1" ht="13" hidden="1" x14ac:dyDescent="0.3">
      <c r="A307" s="627" t="s">
        <v>831</v>
      </c>
      <c r="B307" s="619"/>
      <c r="C307" s="620" t="s">
        <v>1981</v>
      </c>
      <c r="D307" s="621" t="s">
        <v>1859</v>
      </c>
      <c r="E307" s="622" t="s">
        <v>1649</v>
      </c>
      <c r="F307" s="623"/>
      <c r="G307" s="624" t="s">
        <v>1982</v>
      </c>
      <c r="H307" s="624" t="s">
        <v>1983</v>
      </c>
      <c r="I307" s="623"/>
      <c r="J307" s="642" t="s">
        <v>1843</v>
      </c>
      <c r="K307" s="397">
        <v>46387</v>
      </c>
      <c r="L307" s="625" t="s">
        <v>1869</v>
      </c>
      <c r="M307" s="623"/>
      <c r="N307" s="647" t="s">
        <v>1878</v>
      </c>
    </row>
    <row r="308" spans="1:14" s="626" customFormat="1" ht="13" hidden="1" x14ac:dyDescent="0.3">
      <c r="A308" s="141" t="s">
        <v>1429</v>
      </c>
      <c r="B308" s="628"/>
      <c r="C308" s="75" t="s">
        <v>1430</v>
      </c>
      <c r="D308" s="641"/>
      <c r="E308" s="641" t="s">
        <v>1984</v>
      </c>
      <c r="F308" s="623"/>
      <c r="G308" s="288"/>
      <c r="H308" s="288"/>
      <c r="I308" s="623"/>
      <c r="J308" s="642" t="s">
        <v>1843</v>
      </c>
      <c r="K308" s="643" t="s">
        <v>2122</v>
      </c>
      <c r="L308" s="643" t="s">
        <v>2123</v>
      </c>
      <c r="M308" s="623"/>
      <c r="N308" s="647" t="s">
        <v>1878</v>
      </c>
    </row>
    <row r="309" spans="1:14" s="626" customFormat="1" ht="13" hidden="1" x14ac:dyDescent="0.3">
      <c r="A309" s="632" t="s">
        <v>1422</v>
      </c>
      <c r="B309" s="628"/>
      <c r="C309" s="80" t="s">
        <v>1985</v>
      </c>
      <c r="D309" s="641"/>
      <c r="E309" s="641" t="s">
        <v>1984</v>
      </c>
      <c r="F309" s="623"/>
      <c r="G309" s="288"/>
      <c r="H309" s="288"/>
      <c r="I309" s="623"/>
      <c r="J309" s="642" t="s">
        <v>1843</v>
      </c>
      <c r="K309" s="643" t="s">
        <v>2122</v>
      </c>
      <c r="L309" s="643" t="s">
        <v>2123</v>
      </c>
      <c r="M309" s="623"/>
      <c r="N309" s="647" t="s">
        <v>1878</v>
      </c>
    </row>
    <row r="310" spans="1:14" s="626" customFormat="1" ht="13" hidden="1" x14ac:dyDescent="0.3">
      <c r="A310" s="632" t="s">
        <v>1986</v>
      </c>
      <c r="B310" s="628"/>
      <c r="C310" s="80" t="s">
        <v>1987</v>
      </c>
      <c r="D310" s="641"/>
      <c r="E310" s="641" t="s">
        <v>1984</v>
      </c>
      <c r="F310" s="623"/>
      <c r="G310" s="288"/>
      <c r="H310" s="288"/>
      <c r="I310" s="623"/>
      <c r="J310" s="642" t="s">
        <v>1843</v>
      </c>
      <c r="K310" s="643" t="s">
        <v>2122</v>
      </c>
      <c r="L310" s="643" t="s">
        <v>2123</v>
      </c>
      <c r="M310" s="623"/>
      <c r="N310" s="647" t="s">
        <v>1878</v>
      </c>
    </row>
    <row r="311" spans="1:14" customFormat="1" ht="14.5" hidden="1" x14ac:dyDescent="0.35">
      <c r="A311" s="635" t="s">
        <v>47</v>
      </c>
      <c r="B311" s="138"/>
      <c r="C311" s="636" t="s">
        <v>48</v>
      </c>
      <c r="D311" s="621" t="s">
        <v>1859</v>
      </c>
      <c r="E311" s="622" t="s">
        <v>1649</v>
      </c>
      <c r="F311" s="141"/>
      <c r="G311" s="640" t="s">
        <v>2003</v>
      </c>
      <c r="H311" s="640" t="s">
        <v>2004</v>
      </c>
      <c r="I311" s="34"/>
      <c r="J311" s="642" t="s">
        <v>1843</v>
      </c>
      <c r="K311" s="643" t="s">
        <v>2122</v>
      </c>
      <c r="L311" s="643" t="s">
        <v>2123</v>
      </c>
      <c r="M311" s="34"/>
      <c r="N311" s="647" t="s">
        <v>1878</v>
      </c>
    </row>
    <row r="312" spans="1:14" customFormat="1" ht="14.5" hidden="1" x14ac:dyDescent="0.35">
      <c r="A312" s="635" t="s">
        <v>435</v>
      </c>
      <c r="B312" s="138"/>
      <c r="C312" s="636" t="s">
        <v>436</v>
      </c>
      <c r="D312" s="621" t="s">
        <v>1859</v>
      </c>
      <c r="E312" s="622" t="s">
        <v>1649</v>
      </c>
      <c r="F312" s="141"/>
      <c r="G312" s="640" t="s">
        <v>2005</v>
      </c>
      <c r="H312" s="640" t="s">
        <v>2006</v>
      </c>
      <c r="I312" s="34"/>
      <c r="J312" s="642" t="s">
        <v>1843</v>
      </c>
      <c r="K312" s="643" t="s">
        <v>2122</v>
      </c>
      <c r="L312" s="643" t="s">
        <v>2123</v>
      </c>
      <c r="M312" s="34"/>
      <c r="N312" s="647" t="s">
        <v>1878</v>
      </c>
    </row>
    <row r="313" spans="1:14" customFormat="1" ht="14.5" hidden="1" x14ac:dyDescent="0.35">
      <c r="A313" s="635" t="s">
        <v>445</v>
      </c>
      <c r="B313" s="138"/>
      <c r="C313" s="636" t="s">
        <v>1988</v>
      </c>
      <c r="D313" s="621" t="s">
        <v>1859</v>
      </c>
      <c r="E313" s="622" t="s">
        <v>1649</v>
      </c>
      <c r="F313" s="141"/>
      <c r="G313" s="640" t="s">
        <v>2007</v>
      </c>
      <c r="H313" s="640" t="s">
        <v>2008</v>
      </c>
      <c r="I313" s="34"/>
      <c r="J313" s="642" t="s">
        <v>1843</v>
      </c>
      <c r="K313" s="643" t="s">
        <v>2122</v>
      </c>
      <c r="L313" s="643" t="s">
        <v>2123</v>
      </c>
      <c r="M313" s="34"/>
      <c r="N313" s="647" t="s">
        <v>1878</v>
      </c>
    </row>
    <row r="314" spans="1:14" customFormat="1" ht="14.5" hidden="1" x14ac:dyDescent="0.35">
      <c r="A314" s="637" t="s">
        <v>172</v>
      </c>
      <c r="B314" s="138"/>
      <c r="C314" s="636" t="s">
        <v>1777</v>
      </c>
      <c r="D314" s="621" t="s">
        <v>1859</v>
      </c>
      <c r="E314" s="622" t="s">
        <v>1649</v>
      </c>
      <c r="F314" s="141"/>
      <c r="G314" s="640" t="s">
        <v>2009</v>
      </c>
      <c r="H314" s="640" t="s">
        <v>2010</v>
      </c>
      <c r="I314" s="34"/>
      <c r="J314" s="642" t="s">
        <v>1843</v>
      </c>
      <c r="K314" s="643" t="s">
        <v>2122</v>
      </c>
      <c r="L314" s="643" t="s">
        <v>2123</v>
      </c>
      <c r="M314" s="34"/>
      <c r="N314" s="647" t="s">
        <v>1878</v>
      </c>
    </row>
    <row r="315" spans="1:14" customFormat="1" ht="14.5" hidden="1" x14ac:dyDescent="0.35">
      <c r="A315" s="637" t="s">
        <v>113</v>
      </c>
      <c r="B315" s="138"/>
      <c r="C315" s="636" t="s">
        <v>1989</v>
      </c>
      <c r="D315" s="621" t="s">
        <v>1859</v>
      </c>
      <c r="E315" s="622" t="s">
        <v>1649</v>
      </c>
      <c r="F315" s="141"/>
      <c r="G315" s="640" t="s">
        <v>2011</v>
      </c>
      <c r="H315" s="640" t="s">
        <v>2012</v>
      </c>
      <c r="I315" s="34"/>
      <c r="J315" s="642" t="s">
        <v>1843</v>
      </c>
      <c r="K315" s="643" t="s">
        <v>2122</v>
      </c>
      <c r="L315" s="643" t="s">
        <v>2123</v>
      </c>
      <c r="M315" s="34"/>
      <c r="N315" s="647" t="s">
        <v>1878</v>
      </c>
    </row>
    <row r="316" spans="1:14" customFormat="1" ht="14.5" hidden="1" x14ac:dyDescent="0.35">
      <c r="A316" s="635">
        <v>11.01</v>
      </c>
      <c r="B316" s="138"/>
      <c r="C316" s="636" t="s">
        <v>1655</v>
      </c>
      <c r="D316" s="621" t="s">
        <v>1859</v>
      </c>
      <c r="E316" s="622" t="s">
        <v>1649</v>
      </c>
      <c r="F316" s="141"/>
      <c r="G316" s="640" t="s">
        <v>2013</v>
      </c>
      <c r="H316" s="640" t="s">
        <v>2014</v>
      </c>
      <c r="I316" s="34"/>
      <c r="J316" s="642" t="s">
        <v>1843</v>
      </c>
      <c r="K316" s="643" t="s">
        <v>2122</v>
      </c>
      <c r="L316" s="643" t="s">
        <v>2123</v>
      </c>
      <c r="M316" s="34"/>
      <c r="N316" s="647" t="s">
        <v>1878</v>
      </c>
    </row>
    <row r="317" spans="1:14" customFormat="1" ht="14.5" hidden="1" x14ac:dyDescent="0.35">
      <c r="A317" s="635">
        <v>11.05</v>
      </c>
      <c r="B317" s="138"/>
      <c r="C317" s="636" t="s">
        <v>44</v>
      </c>
      <c r="D317" s="621" t="s">
        <v>1859</v>
      </c>
      <c r="E317" s="622" t="s">
        <v>1649</v>
      </c>
      <c r="F317" s="141"/>
      <c r="G317" s="640" t="s">
        <v>2015</v>
      </c>
      <c r="H317" s="640" t="s">
        <v>2016</v>
      </c>
      <c r="I317" s="34"/>
      <c r="J317" s="642" t="s">
        <v>1843</v>
      </c>
      <c r="K317" s="643" t="s">
        <v>2122</v>
      </c>
      <c r="L317" s="643" t="s">
        <v>2123</v>
      </c>
      <c r="M317" s="34"/>
      <c r="N317" s="647" t="s">
        <v>1878</v>
      </c>
    </row>
    <row r="318" spans="1:14" customFormat="1" ht="14.5" hidden="1" x14ac:dyDescent="0.35">
      <c r="A318" s="635">
        <v>22.497074999999999</v>
      </c>
      <c r="B318" s="138"/>
      <c r="C318" s="636" t="s">
        <v>1504</v>
      </c>
      <c r="D318" s="621" t="s">
        <v>1859</v>
      </c>
      <c r="E318" s="622" t="s">
        <v>1649</v>
      </c>
      <c r="F318" s="141"/>
      <c r="G318" s="640" t="s">
        <v>2003</v>
      </c>
      <c r="H318" s="640" t="s">
        <v>2004</v>
      </c>
      <c r="I318" s="34"/>
      <c r="J318" s="642" t="s">
        <v>1843</v>
      </c>
      <c r="K318" s="643" t="s">
        <v>2122</v>
      </c>
      <c r="L318" s="643" t="s">
        <v>2123</v>
      </c>
      <c r="M318" s="34"/>
      <c r="N318" s="647" t="s">
        <v>1878</v>
      </c>
    </row>
    <row r="319" spans="1:14" customFormat="1" ht="14.5" hidden="1" x14ac:dyDescent="0.35">
      <c r="A319" s="635">
        <v>22.507048000000001</v>
      </c>
      <c r="B319" s="138"/>
      <c r="C319" s="636" t="s">
        <v>1839</v>
      </c>
      <c r="D319" s="621" t="s">
        <v>1859</v>
      </c>
      <c r="E319" s="622" t="s">
        <v>1649</v>
      </c>
      <c r="F319" s="141"/>
      <c r="G319" s="640" t="s">
        <v>2017</v>
      </c>
      <c r="H319" s="640" t="s">
        <v>2018</v>
      </c>
      <c r="I319" s="34"/>
      <c r="J319" s="642" t="s">
        <v>1843</v>
      </c>
      <c r="K319" s="643" t="s">
        <v>2122</v>
      </c>
      <c r="L319" s="643" t="s">
        <v>2123</v>
      </c>
      <c r="M319" s="34"/>
      <c r="N319" s="647" t="s">
        <v>1878</v>
      </c>
    </row>
    <row r="320" spans="1:14" customFormat="1" ht="14.5" hidden="1" x14ac:dyDescent="0.35">
      <c r="A320" s="635">
        <v>22.607004</v>
      </c>
      <c r="B320" s="138"/>
      <c r="C320" s="636" t="s">
        <v>994</v>
      </c>
      <c r="D320" s="621" t="s">
        <v>1859</v>
      </c>
      <c r="E320" s="622" t="s">
        <v>1649</v>
      </c>
      <c r="F320" s="141"/>
      <c r="G320" s="640" t="s">
        <v>2019</v>
      </c>
      <c r="H320" s="640" t="s">
        <v>2020</v>
      </c>
      <c r="I320" s="34"/>
      <c r="J320" s="642" t="s">
        <v>1843</v>
      </c>
      <c r="K320" s="643" t="s">
        <v>2122</v>
      </c>
      <c r="L320" s="643" t="s">
        <v>2123</v>
      </c>
      <c r="M320" s="34"/>
      <c r="N320" s="647" t="s">
        <v>1878</v>
      </c>
    </row>
    <row r="321" spans="1:14" customFormat="1" ht="14.5" hidden="1" x14ac:dyDescent="0.35">
      <c r="A321" s="635">
        <v>22.607013999999999</v>
      </c>
      <c r="B321" s="138"/>
      <c r="C321" s="636" t="s">
        <v>1990</v>
      </c>
      <c r="D321" s="621" t="s">
        <v>1859</v>
      </c>
      <c r="E321" s="622" t="s">
        <v>1649</v>
      </c>
      <c r="F321" s="141"/>
      <c r="G321" s="640" t="s">
        <v>2021</v>
      </c>
      <c r="H321" s="640" t="s">
        <v>2022</v>
      </c>
      <c r="I321" s="34"/>
      <c r="J321" s="642" t="s">
        <v>1843</v>
      </c>
      <c r="K321" s="643" t="s">
        <v>2122</v>
      </c>
      <c r="L321" s="643" t="s">
        <v>2123</v>
      </c>
      <c r="M321" s="34"/>
      <c r="N321" s="647" t="s">
        <v>1878</v>
      </c>
    </row>
    <row r="322" spans="1:14" customFormat="1" ht="14.5" hidden="1" x14ac:dyDescent="0.35">
      <c r="A322" s="635">
        <v>30.04</v>
      </c>
      <c r="B322" s="138"/>
      <c r="C322" s="636" t="s">
        <v>1425</v>
      </c>
      <c r="D322" s="621" t="s">
        <v>1859</v>
      </c>
      <c r="E322" s="622" t="s">
        <v>1649</v>
      </c>
      <c r="F322" s="141"/>
      <c r="G322" s="640" t="s">
        <v>2023</v>
      </c>
      <c r="H322" s="640" t="s">
        <v>2024</v>
      </c>
      <c r="I322" s="34"/>
      <c r="J322" s="642" t="s">
        <v>1843</v>
      </c>
      <c r="K322" s="643" t="s">
        <v>2122</v>
      </c>
      <c r="L322" s="643" t="s">
        <v>2123</v>
      </c>
      <c r="M322" s="34"/>
      <c r="N322" s="647" t="s">
        <v>1878</v>
      </c>
    </row>
    <row r="323" spans="1:14" customFormat="1" ht="14.5" hidden="1" x14ac:dyDescent="0.35">
      <c r="A323" s="635">
        <v>31.24</v>
      </c>
      <c r="B323" s="138"/>
      <c r="C323" s="636" t="s">
        <v>1502</v>
      </c>
      <c r="D323" s="621" t="s">
        <v>1859</v>
      </c>
      <c r="E323" s="622" t="s">
        <v>1649</v>
      </c>
      <c r="F323" s="141"/>
      <c r="G323" s="640" t="s">
        <v>2025</v>
      </c>
      <c r="H323" s="640" t="s">
        <v>2026</v>
      </c>
      <c r="I323" s="34"/>
      <c r="J323" s="642" t="s">
        <v>1843</v>
      </c>
      <c r="K323" s="643" t="s">
        <v>2122</v>
      </c>
      <c r="L323" s="643" t="s">
        <v>2123</v>
      </c>
      <c r="M323" s="34"/>
      <c r="N323" s="647" t="s">
        <v>1878</v>
      </c>
    </row>
    <row r="324" spans="1:14" customFormat="1" ht="14.5" hidden="1" x14ac:dyDescent="0.35">
      <c r="A324" s="635">
        <v>31.56</v>
      </c>
      <c r="B324" s="138"/>
      <c r="C324" s="636" t="s">
        <v>695</v>
      </c>
      <c r="D324" s="621" t="s">
        <v>1859</v>
      </c>
      <c r="E324" s="622" t="s">
        <v>1649</v>
      </c>
      <c r="F324" s="141"/>
      <c r="G324" s="640" t="s">
        <v>2027</v>
      </c>
      <c r="H324" s="640" t="s">
        <v>2028</v>
      </c>
      <c r="I324" s="34"/>
      <c r="J324" s="642" t="s">
        <v>1843</v>
      </c>
      <c r="K324" s="643" t="s">
        <v>2122</v>
      </c>
      <c r="L324" s="643" t="s">
        <v>2123</v>
      </c>
      <c r="M324" s="34"/>
      <c r="N324" s="647" t="s">
        <v>1878</v>
      </c>
    </row>
    <row r="325" spans="1:14" customFormat="1" ht="14.5" hidden="1" x14ac:dyDescent="0.35">
      <c r="A325" s="635">
        <v>47.01</v>
      </c>
      <c r="B325" s="138"/>
      <c r="C325" s="636" t="s">
        <v>1838</v>
      </c>
      <c r="D325" s="621" t="s">
        <v>1859</v>
      </c>
      <c r="E325" s="622" t="s">
        <v>1649</v>
      </c>
      <c r="F325" s="141"/>
      <c r="G325" s="640" t="s">
        <v>2029</v>
      </c>
      <c r="H325" s="640" t="s">
        <v>2030</v>
      </c>
      <c r="I325" s="34"/>
      <c r="J325" s="642" t="s">
        <v>1843</v>
      </c>
      <c r="K325" s="643" t="s">
        <v>2122</v>
      </c>
      <c r="L325" s="643" t="s">
        <v>2123</v>
      </c>
      <c r="M325" s="34"/>
      <c r="N325" s="647" t="s">
        <v>1878</v>
      </c>
    </row>
    <row r="326" spans="1:14" customFormat="1" ht="14.5" hidden="1" x14ac:dyDescent="0.35">
      <c r="A326" s="635">
        <v>48.007685000000002</v>
      </c>
      <c r="B326" s="138"/>
      <c r="C326" s="636" t="s">
        <v>1442</v>
      </c>
      <c r="D326" s="621" t="s">
        <v>1859</v>
      </c>
      <c r="E326" s="622" t="s">
        <v>1649</v>
      </c>
      <c r="F326" s="141"/>
      <c r="G326" s="640" t="s">
        <v>2031</v>
      </c>
      <c r="H326" s="640" t="s">
        <v>2032</v>
      </c>
      <c r="I326" s="34"/>
      <c r="J326" s="642" t="s">
        <v>1843</v>
      </c>
      <c r="K326" s="643" t="s">
        <v>2122</v>
      </c>
      <c r="L326" s="643" t="s">
        <v>2123</v>
      </c>
      <c r="M326" s="34"/>
      <c r="N326" s="647" t="s">
        <v>1878</v>
      </c>
    </row>
    <row r="327" spans="1:14" customFormat="1" ht="14.5" hidden="1" x14ac:dyDescent="0.35">
      <c r="A327" s="635">
        <v>48.067171000000002</v>
      </c>
      <c r="B327" s="138"/>
      <c r="C327" s="636" t="s">
        <v>1991</v>
      </c>
      <c r="D327" s="621" t="s">
        <v>1859</v>
      </c>
      <c r="E327" s="622" t="s">
        <v>1649</v>
      </c>
      <c r="F327" s="141"/>
      <c r="G327" s="640" t="s">
        <v>2033</v>
      </c>
      <c r="H327" s="640" t="s">
        <v>2034</v>
      </c>
      <c r="I327" s="34"/>
      <c r="J327" s="642" t="s">
        <v>1843</v>
      </c>
      <c r="K327" s="643" t="s">
        <v>2122</v>
      </c>
      <c r="L327" s="643" t="s">
        <v>2123</v>
      </c>
      <c r="M327" s="34"/>
      <c r="N327" s="647" t="s">
        <v>1878</v>
      </c>
    </row>
    <row r="328" spans="1:14" customFormat="1" ht="14.5" hidden="1" x14ac:dyDescent="0.35">
      <c r="A328" s="635">
        <v>48.48</v>
      </c>
      <c r="B328" s="138"/>
      <c r="C328" s="638" t="s">
        <v>1992</v>
      </c>
      <c r="D328" s="621" t="s">
        <v>1859</v>
      </c>
      <c r="E328" s="622" t="s">
        <v>1649</v>
      </c>
      <c r="F328" s="141"/>
      <c r="G328" s="640" t="s">
        <v>2007</v>
      </c>
      <c r="H328" s="640" t="s">
        <v>2008</v>
      </c>
      <c r="I328" s="34"/>
      <c r="J328" s="642" t="s">
        <v>1843</v>
      </c>
      <c r="K328" s="643" t="s">
        <v>2122</v>
      </c>
      <c r="L328" s="643" t="s">
        <v>2123</v>
      </c>
      <c r="M328" s="34"/>
      <c r="N328" s="647" t="s">
        <v>1878</v>
      </c>
    </row>
    <row r="329" spans="1:14" customFormat="1" ht="14.5" hidden="1" x14ac:dyDescent="0.35">
      <c r="A329" s="635">
        <v>48.517141000000002</v>
      </c>
      <c r="B329" s="138"/>
      <c r="C329" s="636" t="s">
        <v>1993</v>
      </c>
      <c r="D329" s="621" t="s">
        <v>1859</v>
      </c>
      <c r="E329" s="622" t="s">
        <v>1649</v>
      </c>
      <c r="F329" s="141"/>
      <c r="G329" s="640" t="s">
        <v>2035</v>
      </c>
      <c r="H329" s="640" t="s">
        <v>2036</v>
      </c>
      <c r="I329" s="34"/>
      <c r="J329" s="642" t="s">
        <v>1843</v>
      </c>
      <c r="K329" s="643" t="s">
        <v>2122</v>
      </c>
      <c r="L329" s="643" t="s">
        <v>2123</v>
      </c>
      <c r="M329" s="34"/>
      <c r="N329" s="647" t="s">
        <v>1878</v>
      </c>
    </row>
    <row r="330" spans="1:14" customFormat="1" ht="14.5" hidden="1" x14ac:dyDescent="0.35">
      <c r="A330" s="635">
        <v>49.29</v>
      </c>
      <c r="B330" s="138"/>
      <c r="C330" s="636" t="s">
        <v>1994</v>
      </c>
      <c r="D330" s="621" t="s">
        <v>1859</v>
      </c>
      <c r="E330" s="622" t="s">
        <v>1649</v>
      </c>
      <c r="F330" s="141"/>
      <c r="G330" s="640" t="s">
        <v>2037</v>
      </c>
      <c r="H330" s="640" t="s">
        <v>2038</v>
      </c>
      <c r="I330" s="34"/>
      <c r="J330" s="642" t="s">
        <v>1843</v>
      </c>
      <c r="K330" s="643" t="s">
        <v>2122</v>
      </c>
      <c r="L330" s="643" t="s">
        <v>2123</v>
      </c>
      <c r="M330" s="34"/>
      <c r="N330" s="647" t="s">
        <v>1878</v>
      </c>
    </row>
    <row r="331" spans="1:14" customFormat="1" ht="14.5" hidden="1" x14ac:dyDescent="0.35">
      <c r="A331" s="635">
        <v>51.097520000000003</v>
      </c>
      <c r="B331" s="138"/>
      <c r="C331" s="636" t="s">
        <v>1995</v>
      </c>
      <c r="D331" s="621" t="s">
        <v>1859</v>
      </c>
      <c r="E331" s="622" t="s">
        <v>1649</v>
      </c>
      <c r="F331" s="141"/>
      <c r="G331" s="640" t="s">
        <v>2039</v>
      </c>
      <c r="H331" s="640" t="s">
        <v>2040</v>
      </c>
      <c r="I331" s="34"/>
      <c r="J331" s="642" t="s">
        <v>1843</v>
      </c>
      <c r="K331" s="643" t="s">
        <v>2122</v>
      </c>
      <c r="L331" s="643" t="s">
        <v>2123</v>
      </c>
      <c r="M331" s="34"/>
      <c r="N331" s="647" t="s">
        <v>1878</v>
      </c>
    </row>
    <row r="332" spans="1:14" customFormat="1" ht="14.5" hidden="1" x14ac:dyDescent="0.35">
      <c r="A332" s="635">
        <v>51.15</v>
      </c>
      <c r="B332" s="138"/>
      <c r="C332" s="636" t="s">
        <v>1130</v>
      </c>
      <c r="D332" s="621" t="s">
        <v>1859</v>
      </c>
      <c r="E332" s="622" t="s">
        <v>1649</v>
      </c>
      <c r="F332" s="141"/>
      <c r="G332" s="640" t="s">
        <v>2041</v>
      </c>
      <c r="H332" s="640" t="s">
        <v>2042</v>
      </c>
      <c r="I332" s="34"/>
      <c r="J332" s="642" t="s">
        <v>1843</v>
      </c>
      <c r="K332" s="643" t="s">
        <v>2122</v>
      </c>
      <c r="L332" s="643" t="s">
        <v>2123</v>
      </c>
      <c r="M332" s="34"/>
      <c r="N332" s="647" t="s">
        <v>1878</v>
      </c>
    </row>
    <row r="333" spans="1:14" customFormat="1" ht="14.5" hidden="1" x14ac:dyDescent="0.35">
      <c r="A333" s="635">
        <v>51.25</v>
      </c>
      <c r="B333" s="138"/>
      <c r="C333" s="636" t="s">
        <v>1996</v>
      </c>
      <c r="D333" s="621" t="s">
        <v>1859</v>
      </c>
      <c r="E333" s="622" t="s">
        <v>1649</v>
      </c>
      <c r="F333" s="141"/>
      <c r="G333" s="640" t="s">
        <v>2043</v>
      </c>
      <c r="H333" s="640" t="s">
        <v>2044</v>
      </c>
      <c r="I333" s="34"/>
      <c r="J333" s="642" t="s">
        <v>1843</v>
      </c>
      <c r="K333" s="643" t="s">
        <v>2122</v>
      </c>
      <c r="L333" s="643" t="s">
        <v>2123</v>
      </c>
      <c r="M333" s="34"/>
      <c r="N333" s="647" t="s">
        <v>1878</v>
      </c>
    </row>
    <row r="334" spans="1:14" customFormat="1" ht="14.5" hidden="1" x14ac:dyDescent="0.35">
      <c r="A334" s="635">
        <v>56.01</v>
      </c>
      <c r="B334" s="138"/>
      <c r="C334" s="636" t="s">
        <v>925</v>
      </c>
      <c r="D334" s="621" t="s">
        <v>1859</v>
      </c>
      <c r="E334" s="622" t="s">
        <v>1649</v>
      </c>
      <c r="F334" s="141"/>
      <c r="G334" s="640" t="s">
        <v>2045</v>
      </c>
      <c r="H334" s="640" t="s">
        <v>2046</v>
      </c>
      <c r="I334" s="34"/>
      <c r="J334" s="642" t="s">
        <v>1843</v>
      </c>
      <c r="K334" s="643" t="s">
        <v>2122</v>
      </c>
      <c r="L334" s="643" t="s">
        <v>2123</v>
      </c>
      <c r="M334" s="34"/>
      <c r="N334" s="647" t="s">
        <v>1878</v>
      </c>
    </row>
    <row r="335" spans="1:14" customFormat="1" ht="14.5" hidden="1" x14ac:dyDescent="0.35">
      <c r="A335" s="635">
        <v>56.02</v>
      </c>
      <c r="B335" s="138"/>
      <c r="C335" s="636" t="s">
        <v>1660</v>
      </c>
      <c r="D335" s="621" t="s">
        <v>1859</v>
      </c>
      <c r="E335" s="622" t="s">
        <v>1649</v>
      </c>
      <c r="F335" s="141"/>
      <c r="G335" s="640" t="s">
        <v>2047</v>
      </c>
      <c r="H335" s="640" t="s">
        <v>2048</v>
      </c>
      <c r="I335" s="34"/>
      <c r="J335" s="642" t="s">
        <v>1843</v>
      </c>
      <c r="K335" s="643" t="s">
        <v>2122</v>
      </c>
      <c r="L335" s="643" t="s">
        <v>2123</v>
      </c>
      <c r="M335" s="34"/>
      <c r="N335" s="647" t="s">
        <v>1878</v>
      </c>
    </row>
    <row r="336" spans="1:14" customFormat="1" ht="14.5" hidden="1" x14ac:dyDescent="0.35">
      <c r="A336" s="635">
        <v>59.02</v>
      </c>
      <c r="B336" s="138"/>
      <c r="C336" s="636" t="s">
        <v>1653</v>
      </c>
      <c r="D336" s="621" t="s">
        <v>1859</v>
      </c>
      <c r="E336" s="622" t="s">
        <v>1649</v>
      </c>
      <c r="F336" s="141"/>
      <c r="G336" s="640" t="s">
        <v>2049</v>
      </c>
      <c r="H336" s="640" t="s">
        <v>2050</v>
      </c>
      <c r="I336" s="34"/>
      <c r="J336" s="642" t="s">
        <v>1843</v>
      </c>
      <c r="K336" s="643" t="s">
        <v>2122</v>
      </c>
      <c r="L336" s="643" t="s">
        <v>2123</v>
      </c>
      <c r="M336" s="34"/>
      <c r="N336" s="647" t="s">
        <v>1878</v>
      </c>
    </row>
    <row r="337" spans="1:14" customFormat="1" ht="14.5" hidden="1" x14ac:dyDescent="0.35">
      <c r="A337" s="635">
        <v>63.497000999999997</v>
      </c>
      <c r="B337" s="138"/>
      <c r="C337" s="636" t="s">
        <v>1738</v>
      </c>
      <c r="D337" s="621" t="s">
        <v>1859</v>
      </c>
      <c r="E337" s="622" t="s">
        <v>1649</v>
      </c>
      <c r="F337" s="141"/>
      <c r="G337" s="640" t="s">
        <v>2051</v>
      </c>
      <c r="H337" s="640" t="s">
        <v>2052</v>
      </c>
      <c r="I337" s="34"/>
      <c r="J337" s="642" t="s">
        <v>1843</v>
      </c>
      <c r="K337" s="643" t="s">
        <v>2122</v>
      </c>
      <c r="L337" s="643" t="s">
        <v>2123</v>
      </c>
      <c r="M337" s="34"/>
      <c r="N337" s="647" t="s">
        <v>1878</v>
      </c>
    </row>
    <row r="338" spans="1:14" customFormat="1" ht="14.5" hidden="1" x14ac:dyDescent="0.35">
      <c r="A338" s="635">
        <v>63.997149999999998</v>
      </c>
      <c r="B338" s="138"/>
      <c r="C338" s="636" t="s">
        <v>1836</v>
      </c>
      <c r="D338" s="621" t="s">
        <v>1859</v>
      </c>
      <c r="E338" s="622" t="s">
        <v>1649</v>
      </c>
      <c r="F338" s="141"/>
      <c r="G338" s="640" t="s">
        <v>2053</v>
      </c>
      <c r="H338" s="640" t="s">
        <v>2022</v>
      </c>
      <c r="I338" s="34"/>
      <c r="J338" s="642" t="s">
        <v>1843</v>
      </c>
      <c r="K338" s="643" t="s">
        <v>2122</v>
      </c>
      <c r="L338" s="643" t="s">
        <v>2123</v>
      </c>
      <c r="M338" s="34"/>
      <c r="N338" s="647" t="s">
        <v>1878</v>
      </c>
    </row>
    <row r="339" spans="1:14" customFormat="1" ht="14.5" hidden="1" x14ac:dyDescent="0.35">
      <c r="A339" s="635">
        <v>70.497016000000002</v>
      </c>
      <c r="B339" s="138"/>
      <c r="C339" s="636" t="s">
        <v>1662</v>
      </c>
      <c r="D339" s="621" t="s">
        <v>1859</v>
      </c>
      <c r="E339" s="622" t="s">
        <v>1649</v>
      </c>
      <c r="F339" s="141"/>
      <c r="G339" s="640" t="s">
        <v>2054</v>
      </c>
      <c r="H339" s="640" t="s">
        <v>2055</v>
      </c>
      <c r="I339" s="34"/>
      <c r="J339" s="642" t="s">
        <v>1843</v>
      </c>
      <c r="K339" s="643" t="s">
        <v>2122</v>
      </c>
      <c r="L339" s="643" t="s">
        <v>2123</v>
      </c>
      <c r="M339" s="34"/>
      <c r="N339" s="647" t="s">
        <v>1878</v>
      </c>
    </row>
    <row r="340" spans="1:14" customFormat="1" ht="14.5" hidden="1" x14ac:dyDescent="0.35">
      <c r="A340" s="635" t="s">
        <v>1656</v>
      </c>
      <c r="B340" s="138"/>
      <c r="C340" s="636" t="s">
        <v>1657</v>
      </c>
      <c r="D340" s="621" t="s">
        <v>1859</v>
      </c>
      <c r="E340" s="622" t="s">
        <v>1649</v>
      </c>
      <c r="F340" s="141"/>
      <c r="G340" s="640" t="s">
        <v>2056</v>
      </c>
      <c r="H340" s="640" t="s">
        <v>2057</v>
      </c>
      <c r="I340" s="34"/>
      <c r="J340" s="642" t="s">
        <v>1843</v>
      </c>
      <c r="K340" s="643" t="s">
        <v>2122</v>
      </c>
      <c r="L340" s="643" t="s">
        <v>2123</v>
      </c>
      <c r="M340" s="34"/>
      <c r="N340" s="647" t="s">
        <v>1878</v>
      </c>
    </row>
    <row r="341" spans="1:14" customFormat="1" ht="14.5" hidden="1" x14ac:dyDescent="0.35">
      <c r="A341" s="635" t="s">
        <v>1817</v>
      </c>
      <c r="B341" s="138"/>
      <c r="C341" s="636" t="s">
        <v>1816</v>
      </c>
      <c r="D341" s="621" t="s">
        <v>1859</v>
      </c>
      <c r="E341" s="622" t="s">
        <v>1649</v>
      </c>
      <c r="F341" s="141"/>
      <c r="G341" s="640" t="s">
        <v>2058</v>
      </c>
      <c r="H341" s="640" t="s">
        <v>2059</v>
      </c>
      <c r="I341" s="34"/>
      <c r="J341" s="642" t="s">
        <v>1843</v>
      </c>
      <c r="K341" s="643" t="s">
        <v>2122</v>
      </c>
      <c r="L341" s="643" t="s">
        <v>2123</v>
      </c>
      <c r="M341" s="34"/>
      <c r="N341" s="647" t="s">
        <v>1878</v>
      </c>
    </row>
    <row r="342" spans="1:14" customFormat="1" ht="14.5" hidden="1" x14ac:dyDescent="0.35">
      <c r="A342" s="635" t="s">
        <v>1498</v>
      </c>
      <c r="B342" s="138"/>
      <c r="C342" s="636" t="s">
        <v>1499</v>
      </c>
      <c r="D342" s="621" t="s">
        <v>1859</v>
      </c>
      <c r="E342" s="622" t="s">
        <v>1649</v>
      </c>
      <c r="F342" s="141"/>
      <c r="G342" s="640" t="s">
        <v>2060</v>
      </c>
      <c r="H342" s="640" t="s">
        <v>2061</v>
      </c>
      <c r="I342" s="34"/>
      <c r="J342" s="642" t="s">
        <v>1843</v>
      </c>
      <c r="K342" s="643" t="s">
        <v>2122</v>
      </c>
      <c r="L342" s="643" t="s">
        <v>2123</v>
      </c>
      <c r="M342" s="34"/>
      <c r="N342" s="647" t="s">
        <v>1878</v>
      </c>
    </row>
    <row r="343" spans="1:14" customFormat="1" ht="14.5" hidden="1" x14ac:dyDescent="0.35">
      <c r="A343" s="635" t="s">
        <v>1822</v>
      </c>
      <c r="B343" s="138"/>
      <c r="C343" s="636" t="s">
        <v>1997</v>
      </c>
      <c r="D343" s="621" t="s">
        <v>1859</v>
      </c>
      <c r="E343" s="622" t="s">
        <v>1649</v>
      </c>
      <c r="F343" s="141"/>
      <c r="G343" s="640" t="s">
        <v>2062</v>
      </c>
      <c r="H343" s="640" t="s">
        <v>2063</v>
      </c>
      <c r="I343" s="34"/>
      <c r="J343" s="642" t="s">
        <v>1843</v>
      </c>
      <c r="K343" s="643" t="s">
        <v>2122</v>
      </c>
      <c r="L343" s="643" t="s">
        <v>2123</v>
      </c>
      <c r="M343" s="34"/>
      <c r="N343" s="647" t="s">
        <v>1878</v>
      </c>
    </row>
    <row r="344" spans="1:14" customFormat="1" ht="14.5" hidden="1" x14ac:dyDescent="0.35">
      <c r="A344" s="635" t="s">
        <v>49</v>
      </c>
      <c r="B344" s="138"/>
      <c r="C344" s="636" t="s">
        <v>1479</v>
      </c>
      <c r="D344" s="621" t="s">
        <v>1859</v>
      </c>
      <c r="E344" s="622" t="s">
        <v>1649</v>
      </c>
      <c r="F344" s="141"/>
      <c r="G344" s="640" t="s">
        <v>2064</v>
      </c>
      <c r="H344" s="640" t="s">
        <v>2065</v>
      </c>
      <c r="I344" s="34"/>
      <c r="J344" s="642" t="s">
        <v>1843</v>
      </c>
      <c r="K344" s="643" t="s">
        <v>2122</v>
      </c>
      <c r="L344" s="643" t="s">
        <v>2123</v>
      </c>
      <c r="M344" s="34"/>
      <c r="N344" s="647" t="s">
        <v>1878</v>
      </c>
    </row>
    <row r="345" spans="1:14" customFormat="1" ht="14.5" hidden="1" x14ac:dyDescent="0.35">
      <c r="A345" s="635" t="s">
        <v>1806</v>
      </c>
      <c r="B345" s="138"/>
      <c r="C345" s="636" t="s">
        <v>1998</v>
      </c>
      <c r="D345" s="621" t="s">
        <v>1859</v>
      </c>
      <c r="E345" s="622" t="s">
        <v>1649</v>
      </c>
      <c r="F345" s="141"/>
      <c r="G345" s="640" t="s">
        <v>2066</v>
      </c>
      <c r="H345" s="640" t="s">
        <v>2065</v>
      </c>
      <c r="I345" s="34"/>
      <c r="J345" s="642" t="s">
        <v>1843</v>
      </c>
      <c r="K345" s="643" t="s">
        <v>2122</v>
      </c>
      <c r="L345" s="643" t="s">
        <v>2123</v>
      </c>
      <c r="M345" s="34"/>
      <c r="N345" s="647" t="s">
        <v>1878</v>
      </c>
    </row>
    <row r="346" spans="1:14" customFormat="1" ht="14.5" hidden="1" x14ac:dyDescent="0.35">
      <c r="A346" s="635" t="s">
        <v>76</v>
      </c>
      <c r="B346" s="138"/>
      <c r="C346" s="636" t="s">
        <v>1771</v>
      </c>
      <c r="D346" s="621" t="s">
        <v>1859</v>
      </c>
      <c r="E346" s="622" t="s">
        <v>1649</v>
      </c>
      <c r="F346" s="141"/>
      <c r="G346" s="640" t="s">
        <v>2067</v>
      </c>
      <c r="H346" s="640" t="s">
        <v>2068</v>
      </c>
      <c r="I346" s="34"/>
      <c r="J346" s="642" t="s">
        <v>1843</v>
      </c>
      <c r="K346" s="643" t="s">
        <v>2122</v>
      </c>
      <c r="L346" s="643" t="s">
        <v>2123</v>
      </c>
      <c r="M346" s="34"/>
      <c r="N346" s="647" t="s">
        <v>1878</v>
      </c>
    </row>
    <row r="347" spans="1:14" customFormat="1" ht="14.5" hidden="1" x14ac:dyDescent="0.35">
      <c r="A347" s="635" t="s">
        <v>31</v>
      </c>
      <c r="B347" s="138"/>
      <c r="C347" s="636" t="s">
        <v>1435</v>
      </c>
      <c r="D347" s="621" t="s">
        <v>1859</v>
      </c>
      <c r="E347" s="622" t="s">
        <v>1649</v>
      </c>
      <c r="F347" s="141"/>
      <c r="G347" s="640" t="s">
        <v>2069</v>
      </c>
      <c r="H347" s="640" t="s">
        <v>2070</v>
      </c>
      <c r="I347" s="34"/>
      <c r="J347" s="642" t="s">
        <v>1843</v>
      </c>
      <c r="K347" s="643" t="s">
        <v>2122</v>
      </c>
      <c r="L347" s="643" t="s">
        <v>2123</v>
      </c>
      <c r="M347" s="34"/>
      <c r="N347" s="647" t="s">
        <v>1878</v>
      </c>
    </row>
    <row r="348" spans="1:14" customFormat="1" ht="14.5" hidden="1" x14ac:dyDescent="0.35">
      <c r="A348" s="635" t="s">
        <v>1436</v>
      </c>
      <c r="B348" s="138"/>
      <c r="C348" s="636" t="s">
        <v>1437</v>
      </c>
      <c r="D348" s="621" t="s">
        <v>1859</v>
      </c>
      <c r="E348" s="622" t="s">
        <v>1649</v>
      </c>
      <c r="F348" s="141"/>
      <c r="G348" s="640" t="s">
        <v>2064</v>
      </c>
      <c r="H348" s="640" t="s">
        <v>2065</v>
      </c>
      <c r="I348" s="34"/>
      <c r="J348" s="642" t="s">
        <v>1843</v>
      </c>
      <c r="K348" s="643" t="s">
        <v>2122</v>
      </c>
      <c r="L348" s="643" t="s">
        <v>2123</v>
      </c>
      <c r="M348" s="34"/>
      <c r="N348" s="647" t="s">
        <v>1878</v>
      </c>
    </row>
    <row r="349" spans="1:14" customFormat="1" ht="14.5" hidden="1" x14ac:dyDescent="0.35">
      <c r="A349" s="635" t="s">
        <v>1231</v>
      </c>
      <c r="B349" s="138"/>
      <c r="C349" s="636" t="s">
        <v>1827</v>
      </c>
      <c r="D349" s="621" t="s">
        <v>1859</v>
      </c>
      <c r="E349" s="622" t="s">
        <v>1649</v>
      </c>
      <c r="F349" s="141"/>
      <c r="G349" s="640" t="s">
        <v>2071</v>
      </c>
      <c r="H349" s="640" t="s">
        <v>2072</v>
      </c>
      <c r="I349" s="34"/>
      <c r="J349" s="642" t="s">
        <v>1843</v>
      </c>
      <c r="K349" s="643" t="s">
        <v>2122</v>
      </c>
      <c r="L349" s="643" t="s">
        <v>2123</v>
      </c>
      <c r="M349" s="34"/>
      <c r="N349" s="647" t="s">
        <v>1878</v>
      </c>
    </row>
    <row r="350" spans="1:14" customFormat="1" ht="14.5" hidden="1" x14ac:dyDescent="0.35">
      <c r="A350" s="635" t="s">
        <v>245</v>
      </c>
      <c r="B350" s="138"/>
      <c r="C350" s="636" t="s">
        <v>1491</v>
      </c>
      <c r="D350" s="621" t="s">
        <v>1859</v>
      </c>
      <c r="E350" s="622" t="s">
        <v>1649</v>
      </c>
      <c r="F350" s="141"/>
      <c r="G350" s="640" t="s">
        <v>2073</v>
      </c>
      <c r="H350" s="640" t="s">
        <v>2072</v>
      </c>
      <c r="I350" s="34"/>
      <c r="J350" s="642" t="s">
        <v>1843</v>
      </c>
      <c r="K350" s="643" t="s">
        <v>2122</v>
      </c>
      <c r="L350" s="643" t="s">
        <v>2123</v>
      </c>
      <c r="M350" s="34"/>
      <c r="N350" s="647" t="s">
        <v>1878</v>
      </c>
    </row>
    <row r="351" spans="1:14" customFormat="1" ht="14.5" hidden="1" x14ac:dyDescent="0.35">
      <c r="A351" s="635" t="s">
        <v>1785</v>
      </c>
      <c r="B351" s="138"/>
      <c r="C351" s="636" t="s">
        <v>1999</v>
      </c>
      <c r="D351" s="621" t="s">
        <v>1859</v>
      </c>
      <c r="E351" s="622" t="s">
        <v>1649</v>
      </c>
      <c r="F351" s="141"/>
      <c r="G351" s="640" t="s">
        <v>2074</v>
      </c>
      <c r="H351" s="640" t="s">
        <v>2075</v>
      </c>
      <c r="I351" s="34"/>
      <c r="J351" s="642" t="s">
        <v>1843</v>
      </c>
      <c r="K351" s="643" t="s">
        <v>2122</v>
      </c>
      <c r="L351" s="643" t="s">
        <v>2123</v>
      </c>
      <c r="M351" s="34"/>
      <c r="N351" s="647" t="s">
        <v>1878</v>
      </c>
    </row>
    <row r="352" spans="1:14" customFormat="1" ht="14.5" hidden="1" x14ac:dyDescent="0.35">
      <c r="A352" s="635" t="s">
        <v>29</v>
      </c>
      <c r="B352" s="138"/>
      <c r="C352" s="636" t="s">
        <v>622</v>
      </c>
      <c r="D352" s="621" t="s">
        <v>1859</v>
      </c>
      <c r="E352" s="622" t="s">
        <v>1649</v>
      </c>
      <c r="F352" s="141"/>
      <c r="G352" s="640" t="s">
        <v>2076</v>
      </c>
      <c r="H352" s="640" t="s">
        <v>2077</v>
      </c>
      <c r="I352" s="34"/>
      <c r="J352" s="642" t="s">
        <v>1843</v>
      </c>
      <c r="K352" s="643" t="s">
        <v>2122</v>
      </c>
      <c r="L352" s="643" t="s">
        <v>2123</v>
      </c>
      <c r="M352" s="34"/>
      <c r="N352" s="647" t="s">
        <v>1878</v>
      </c>
    </row>
    <row r="353" spans="1:14" customFormat="1" ht="14.5" hidden="1" x14ac:dyDescent="0.35">
      <c r="A353" s="635" t="s">
        <v>37</v>
      </c>
      <c r="B353" s="138"/>
      <c r="C353" s="636" t="s">
        <v>1439</v>
      </c>
      <c r="D353" s="621" t="s">
        <v>1859</v>
      </c>
      <c r="E353" s="622" t="s">
        <v>1649</v>
      </c>
      <c r="F353" s="141"/>
      <c r="G353" s="640" t="s">
        <v>2078</v>
      </c>
      <c r="H353" s="640" t="s">
        <v>2079</v>
      </c>
      <c r="I353" s="34"/>
      <c r="J353" s="642" t="s">
        <v>1843</v>
      </c>
      <c r="K353" s="643" t="s">
        <v>2122</v>
      </c>
      <c r="L353" s="643" t="s">
        <v>2123</v>
      </c>
      <c r="M353" s="34"/>
      <c r="N353" s="647" t="s">
        <v>1878</v>
      </c>
    </row>
    <row r="354" spans="1:14" customFormat="1" ht="14.5" hidden="1" x14ac:dyDescent="0.35">
      <c r="A354" s="635" t="s">
        <v>35</v>
      </c>
      <c r="B354" s="138"/>
      <c r="C354" s="636" t="s">
        <v>1438</v>
      </c>
      <c r="D354" s="621" t="s">
        <v>1859</v>
      </c>
      <c r="E354" s="622" t="s">
        <v>1649</v>
      </c>
      <c r="F354" s="141"/>
      <c r="G354" s="640" t="s">
        <v>2080</v>
      </c>
      <c r="H354" s="640" t="s">
        <v>2081</v>
      </c>
      <c r="I354" s="34"/>
      <c r="J354" s="642" t="s">
        <v>1843</v>
      </c>
      <c r="K354" s="643" t="s">
        <v>2122</v>
      </c>
      <c r="L354" s="643" t="s">
        <v>2123</v>
      </c>
      <c r="M354" s="34"/>
      <c r="N354" s="647" t="s">
        <v>1878</v>
      </c>
    </row>
    <row r="355" spans="1:14" customFormat="1" ht="14.5" hidden="1" x14ac:dyDescent="0.35">
      <c r="A355" s="635" t="s">
        <v>588</v>
      </c>
      <c r="B355" s="138"/>
      <c r="C355" s="636" t="s">
        <v>589</v>
      </c>
      <c r="D355" s="621" t="s">
        <v>1859</v>
      </c>
      <c r="E355" s="622" t="s">
        <v>1649</v>
      </c>
      <c r="F355" s="141"/>
      <c r="G355" s="640" t="s">
        <v>2082</v>
      </c>
      <c r="H355" s="640" t="s">
        <v>2083</v>
      </c>
      <c r="I355" s="34"/>
      <c r="J355" s="642" t="s">
        <v>1843</v>
      </c>
      <c r="K355" s="643" t="s">
        <v>2122</v>
      </c>
      <c r="L355" s="643" t="s">
        <v>2123</v>
      </c>
      <c r="M355" s="34"/>
      <c r="N355" s="647" t="s">
        <v>1878</v>
      </c>
    </row>
    <row r="356" spans="1:14" customFormat="1" ht="14.5" hidden="1" x14ac:dyDescent="0.35">
      <c r="A356" s="635" t="s">
        <v>1235</v>
      </c>
      <c r="B356" s="138"/>
      <c r="C356" s="636" t="s">
        <v>1776</v>
      </c>
      <c r="D356" s="621" t="s">
        <v>1859</v>
      </c>
      <c r="E356" s="622" t="s">
        <v>1649</v>
      </c>
      <c r="F356" s="141"/>
      <c r="G356" s="640" t="s">
        <v>2084</v>
      </c>
      <c r="H356" s="640" t="s">
        <v>2085</v>
      </c>
      <c r="I356" s="34"/>
      <c r="J356" s="642" t="s">
        <v>1843</v>
      </c>
      <c r="K356" s="643" t="s">
        <v>2122</v>
      </c>
      <c r="L356" s="643" t="s">
        <v>2123</v>
      </c>
      <c r="M356" s="34"/>
      <c r="N356" s="647" t="s">
        <v>1878</v>
      </c>
    </row>
    <row r="357" spans="1:14" customFormat="1" ht="14.5" hidden="1" x14ac:dyDescent="0.35">
      <c r="A357" s="635" t="s">
        <v>41</v>
      </c>
      <c r="B357" s="138"/>
      <c r="C357" s="636" t="s">
        <v>1441</v>
      </c>
      <c r="D357" s="621" t="s">
        <v>1859</v>
      </c>
      <c r="E357" s="622" t="s">
        <v>1649</v>
      </c>
      <c r="F357" s="141"/>
      <c r="G357" s="640" t="s">
        <v>2086</v>
      </c>
      <c r="H357" s="640" t="s">
        <v>2087</v>
      </c>
      <c r="I357" s="34"/>
      <c r="J357" s="642" t="s">
        <v>1843</v>
      </c>
      <c r="K357" s="643" t="s">
        <v>2122</v>
      </c>
      <c r="L357" s="643" t="s">
        <v>2123</v>
      </c>
      <c r="M357" s="34"/>
      <c r="N357" s="647" t="s">
        <v>1878</v>
      </c>
    </row>
    <row r="358" spans="1:14" customFormat="1" ht="14.5" hidden="1" x14ac:dyDescent="0.35">
      <c r="A358" s="635" t="s">
        <v>1427</v>
      </c>
      <c r="B358" s="138"/>
      <c r="C358" s="636" t="s">
        <v>106</v>
      </c>
      <c r="D358" s="621" t="s">
        <v>1859</v>
      </c>
      <c r="E358" s="622" t="s">
        <v>1649</v>
      </c>
      <c r="F358" s="141"/>
      <c r="G358" s="640" t="s">
        <v>2013</v>
      </c>
      <c r="H358" s="640" t="s">
        <v>2014</v>
      </c>
      <c r="I358" s="34"/>
      <c r="J358" s="642" t="s">
        <v>1843</v>
      </c>
      <c r="K358" s="643" t="s">
        <v>2122</v>
      </c>
      <c r="L358" s="643" t="s">
        <v>2123</v>
      </c>
      <c r="M358" s="34"/>
      <c r="N358" s="647" t="s">
        <v>1878</v>
      </c>
    </row>
    <row r="359" spans="1:14" customFormat="1" ht="14.5" hidden="1" x14ac:dyDescent="0.35">
      <c r="A359" s="635" t="s">
        <v>1650</v>
      </c>
      <c r="B359" s="138"/>
      <c r="C359" s="636" t="s">
        <v>1651</v>
      </c>
      <c r="D359" s="621" t="s">
        <v>1859</v>
      </c>
      <c r="E359" s="622" t="s">
        <v>1649</v>
      </c>
      <c r="F359" s="141"/>
      <c r="G359" s="640" t="s">
        <v>2088</v>
      </c>
      <c r="H359" s="640" t="s">
        <v>2089</v>
      </c>
      <c r="I359" s="34"/>
      <c r="J359" s="642" t="s">
        <v>1843</v>
      </c>
      <c r="K359" s="643" t="s">
        <v>2122</v>
      </c>
      <c r="L359" s="643" t="s">
        <v>2123</v>
      </c>
      <c r="M359" s="34"/>
      <c r="N359" s="647" t="s">
        <v>1878</v>
      </c>
    </row>
    <row r="360" spans="1:14" customFormat="1" ht="14.5" hidden="1" x14ac:dyDescent="0.35">
      <c r="A360" s="635" t="s">
        <v>39</v>
      </c>
      <c r="B360" s="138"/>
      <c r="C360" s="636" t="s">
        <v>1440</v>
      </c>
      <c r="D360" s="621" t="s">
        <v>1859</v>
      </c>
      <c r="E360" s="622" t="s">
        <v>1649</v>
      </c>
      <c r="F360" s="141"/>
      <c r="G360" s="640" t="s">
        <v>2015</v>
      </c>
      <c r="H360" s="640" t="s">
        <v>2016</v>
      </c>
      <c r="I360" s="34"/>
      <c r="J360" s="642" t="s">
        <v>1843</v>
      </c>
      <c r="K360" s="643" t="s">
        <v>2122</v>
      </c>
      <c r="L360" s="643" t="s">
        <v>2123</v>
      </c>
      <c r="M360" s="34"/>
      <c r="N360" s="647" t="s">
        <v>1878</v>
      </c>
    </row>
    <row r="361" spans="1:14" customFormat="1" ht="14.5" hidden="1" x14ac:dyDescent="0.35">
      <c r="A361" s="635" t="s">
        <v>603</v>
      </c>
      <c r="B361" s="138"/>
      <c r="C361" s="636" t="s">
        <v>1432</v>
      </c>
      <c r="D361" s="621" t="s">
        <v>1859</v>
      </c>
      <c r="E361" s="622" t="s">
        <v>1649</v>
      </c>
      <c r="F361" s="141"/>
      <c r="G361" s="640" t="s">
        <v>2090</v>
      </c>
      <c r="H361" s="640" t="s">
        <v>2091</v>
      </c>
      <c r="I361" s="34"/>
      <c r="J361" s="642" t="s">
        <v>1843</v>
      </c>
      <c r="K361" s="643" t="s">
        <v>2122</v>
      </c>
      <c r="L361" s="643" t="s">
        <v>2123</v>
      </c>
      <c r="M361" s="34"/>
      <c r="N361" s="647" t="s">
        <v>1878</v>
      </c>
    </row>
    <row r="362" spans="1:14" customFormat="1" ht="14.5" hidden="1" x14ac:dyDescent="0.35">
      <c r="A362" s="635" t="s">
        <v>1724</v>
      </c>
      <c r="B362" s="138"/>
      <c r="C362" s="636" t="s">
        <v>2000</v>
      </c>
      <c r="D362" s="621" t="s">
        <v>1859</v>
      </c>
      <c r="E362" s="622" t="s">
        <v>1649</v>
      </c>
      <c r="F362" s="141"/>
      <c r="G362" s="640" t="s">
        <v>2092</v>
      </c>
      <c r="H362" s="640" t="s">
        <v>2032</v>
      </c>
      <c r="I362" s="34"/>
      <c r="J362" s="642" t="s">
        <v>1843</v>
      </c>
      <c r="K362" s="643" t="s">
        <v>2122</v>
      </c>
      <c r="L362" s="643" t="s">
        <v>2123</v>
      </c>
      <c r="M362" s="34"/>
      <c r="N362" s="647" t="s">
        <v>1878</v>
      </c>
    </row>
    <row r="363" spans="1:14" customFormat="1" ht="14.5" hidden="1" x14ac:dyDescent="0.35">
      <c r="A363" s="635" t="s">
        <v>26</v>
      </c>
      <c r="B363" s="138"/>
      <c r="C363" s="636" t="s">
        <v>1434</v>
      </c>
      <c r="D363" s="621" t="s">
        <v>1859</v>
      </c>
      <c r="E363" s="622" t="s">
        <v>1649</v>
      </c>
      <c r="F363" s="141"/>
      <c r="G363" s="640" t="s">
        <v>2093</v>
      </c>
      <c r="H363" s="640" t="s">
        <v>2094</v>
      </c>
      <c r="I363" s="34"/>
      <c r="J363" s="642" t="s">
        <v>1843</v>
      </c>
      <c r="K363" s="643" t="s">
        <v>2122</v>
      </c>
      <c r="L363" s="643" t="s">
        <v>2123</v>
      </c>
      <c r="M363" s="34"/>
      <c r="N363" s="647" t="s">
        <v>1878</v>
      </c>
    </row>
    <row r="364" spans="1:14" customFormat="1" ht="14.5" hidden="1" x14ac:dyDescent="0.35">
      <c r="A364" s="635" t="s">
        <v>997</v>
      </c>
      <c r="B364" s="138"/>
      <c r="C364" s="636" t="s">
        <v>998</v>
      </c>
      <c r="D364" s="621" t="s">
        <v>1859</v>
      </c>
      <c r="E364" s="622" t="s">
        <v>1649</v>
      </c>
      <c r="F364" s="141"/>
      <c r="G364" s="640" t="s">
        <v>2019</v>
      </c>
      <c r="H364" s="640" t="s">
        <v>2020</v>
      </c>
      <c r="I364" s="34"/>
      <c r="J364" s="642" t="s">
        <v>1843</v>
      </c>
      <c r="K364" s="643" t="s">
        <v>2122</v>
      </c>
      <c r="L364" s="643" t="s">
        <v>2123</v>
      </c>
      <c r="M364" s="34"/>
      <c r="N364" s="647" t="s">
        <v>1878</v>
      </c>
    </row>
    <row r="365" spans="1:14" customFormat="1" ht="14.5" hidden="1" x14ac:dyDescent="0.35">
      <c r="A365" s="635" t="s">
        <v>1415</v>
      </c>
      <c r="B365" s="138"/>
      <c r="C365" s="636" t="s">
        <v>1734</v>
      </c>
      <c r="D365" s="621" t="s">
        <v>1859</v>
      </c>
      <c r="E365" s="622" t="s">
        <v>1649</v>
      </c>
      <c r="F365" s="141"/>
      <c r="G365" s="640" t="s">
        <v>2095</v>
      </c>
      <c r="H365" s="640" t="s">
        <v>2096</v>
      </c>
      <c r="I365" s="34"/>
      <c r="J365" s="642" t="s">
        <v>1843</v>
      </c>
      <c r="K365" s="643" t="s">
        <v>2122</v>
      </c>
      <c r="L365" s="643" t="s">
        <v>2123</v>
      </c>
      <c r="M365" s="34"/>
      <c r="N365" s="647" t="s">
        <v>1878</v>
      </c>
    </row>
    <row r="366" spans="1:14" customFormat="1" ht="14.5" hidden="1" x14ac:dyDescent="0.35">
      <c r="A366" s="635" t="s">
        <v>631</v>
      </c>
      <c r="B366" s="138"/>
      <c r="C366" s="636" t="s">
        <v>2001</v>
      </c>
      <c r="D366" s="621" t="s">
        <v>1859</v>
      </c>
      <c r="E366" s="622" t="s">
        <v>1649</v>
      </c>
      <c r="F366" s="141"/>
      <c r="G366" s="640" t="s">
        <v>2097</v>
      </c>
      <c r="H366" s="640" t="s">
        <v>2098</v>
      </c>
      <c r="I366" s="34"/>
      <c r="J366" s="642" t="s">
        <v>1843</v>
      </c>
      <c r="K366" s="643" t="s">
        <v>2122</v>
      </c>
      <c r="L366" s="643" t="s">
        <v>2123</v>
      </c>
      <c r="M366" s="34"/>
      <c r="N366" s="647" t="s">
        <v>1878</v>
      </c>
    </row>
    <row r="367" spans="1:14" customFormat="1" ht="14.5" hidden="1" x14ac:dyDescent="0.35">
      <c r="A367" s="635" t="s">
        <v>710</v>
      </c>
      <c r="B367" s="138"/>
      <c r="C367" s="636" t="s">
        <v>1736</v>
      </c>
      <c r="D367" s="621" t="s">
        <v>1859</v>
      </c>
      <c r="E367" s="622" t="s">
        <v>1649</v>
      </c>
      <c r="F367" s="141"/>
      <c r="G367" s="640" t="s">
        <v>2099</v>
      </c>
      <c r="H367" s="640" t="s">
        <v>2100</v>
      </c>
      <c r="I367" s="34"/>
      <c r="J367" s="642" t="s">
        <v>1843</v>
      </c>
      <c r="K367" s="643" t="s">
        <v>2122</v>
      </c>
      <c r="L367" s="643" t="s">
        <v>2123</v>
      </c>
      <c r="M367" s="34"/>
      <c r="N367" s="647" t="s">
        <v>1878</v>
      </c>
    </row>
    <row r="368" spans="1:14" customFormat="1" ht="14.5" hidden="1" x14ac:dyDescent="0.35">
      <c r="A368" s="635" t="s">
        <v>721</v>
      </c>
      <c r="B368" s="138"/>
      <c r="C368" s="636" t="s">
        <v>717</v>
      </c>
      <c r="D368" s="621" t="s">
        <v>1859</v>
      </c>
      <c r="E368" s="622" t="s">
        <v>1649</v>
      </c>
      <c r="F368" s="141"/>
      <c r="G368" s="640" t="s">
        <v>2101</v>
      </c>
      <c r="H368" s="640" t="s">
        <v>2055</v>
      </c>
      <c r="I368" s="34"/>
      <c r="J368" s="642" t="s">
        <v>1843</v>
      </c>
      <c r="K368" s="643" t="s">
        <v>2122</v>
      </c>
      <c r="L368" s="643" t="s">
        <v>2123</v>
      </c>
      <c r="M368" s="34"/>
      <c r="N368" s="647" t="s">
        <v>1878</v>
      </c>
    </row>
    <row r="369" spans="1:14" customFormat="1" ht="14.5" hidden="1" x14ac:dyDescent="0.35">
      <c r="A369" s="635" t="s">
        <v>390</v>
      </c>
      <c r="B369" s="138"/>
      <c r="C369" s="636" t="s">
        <v>1770</v>
      </c>
      <c r="D369" s="621" t="s">
        <v>1859</v>
      </c>
      <c r="E369" s="622" t="s">
        <v>1649</v>
      </c>
      <c r="F369" s="141"/>
      <c r="G369" s="640" t="s">
        <v>2015</v>
      </c>
      <c r="H369" s="640" t="s">
        <v>2016</v>
      </c>
      <c r="I369" s="34"/>
      <c r="J369" s="642" t="s">
        <v>1843</v>
      </c>
      <c r="K369" s="643" t="s">
        <v>2122</v>
      </c>
      <c r="L369" s="643" t="s">
        <v>2123</v>
      </c>
      <c r="M369" s="34"/>
      <c r="N369" s="647" t="s">
        <v>1878</v>
      </c>
    </row>
    <row r="370" spans="1:14" customFormat="1" ht="14.5" hidden="1" x14ac:dyDescent="0.35">
      <c r="A370" s="635" t="s">
        <v>1062</v>
      </c>
      <c r="B370" s="138"/>
      <c r="C370" s="636" t="s">
        <v>1063</v>
      </c>
      <c r="D370" s="621" t="s">
        <v>1859</v>
      </c>
      <c r="E370" s="622" t="s">
        <v>1649</v>
      </c>
      <c r="F370" s="141"/>
      <c r="G370" s="640" t="s">
        <v>2102</v>
      </c>
      <c r="H370" s="640" t="s">
        <v>2100</v>
      </c>
      <c r="I370" s="34"/>
      <c r="J370" s="642" t="s">
        <v>1843</v>
      </c>
      <c r="K370" s="643" t="s">
        <v>2122</v>
      </c>
      <c r="L370" s="643" t="s">
        <v>2123</v>
      </c>
      <c r="M370" s="34"/>
      <c r="N370" s="647" t="s">
        <v>1878</v>
      </c>
    </row>
    <row r="371" spans="1:14" customFormat="1" ht="14.5" hidden="1" x14ac:dyDescent="0.35">
      <c r="A371" s="635" t="s">
        <v>1789</v>
      </c>
      <c r="B371" s="138"/>
      <c r="C371" s="636" t="s">
        <v>1790</v>
      </c>
      <c r="D371" s="621" t="s">
        <v>1859</v>
      </c>
      <c r="E371" s="622" t="s">
        <v>1649</v>
      </c>
      <c r="F371" s="141"/>
      <c r="G371" s="640" t="s">
        <v>2103</v>
      </c>
      <c r="H371" s="640" t="s">
        <v>2104</v>
      </c>
      <c r="I371" s="34"/>
      <c r="J371" s="642" t="s">
        <v>1843</v>
      </c>
      <c r="K371" s="643" t="s">
        <v>2122</v>
      </c>
      <c r="L371" s="643" t="s">
        <v>2123</v>
      </c>
      <c r="M371" s="34"/>
      <c r="N371" s="647" t="s">
        <v>1878</v>
      </c>
    </row>
    <row r="372" spans="1:14" customFormat="1" ht="14.5" hidden="1" x14ac:dyDescent="0.35">
      <c r="A372" s="635" t="s">
        <v>759</v>
      </c>
      <c r="B372" s="138"/>
      <c r="C372" s="636" t="s">
        <v>760</v>
      </c>
      <c r="D372" s="621" t="s">
        <v>1859</v>
      </c>
      <c r="E372" s="622" t="s">
        <v>1649</v>
      </c>
      <c r="F372" s="141"/>
      <c r="G372" s="640" t="s">
        <v>2058</v>
      </c>
      <c r="H372" s="640" t="s">
        <v>2059</v>
      </c>
      <c r="I372" s="34"/>
      <c r="J372" s="642" t="s">
        <v>1843</v>
      </c>
      <c r="K372" s="643" t="s">
        <v>2122</v>
      </c>
      <c r="L372" s="643" t="s">
        <v>2123</v>
      </c>
      <c r="M372" s="34"/>
      <c r="N372" s="647" t="s">
        <v>1878</v>
      </c>
    </row>
    <row r="373" spans="1:14" customFormat="1" ht="14.5" hidden="1" x14ac:dyDescent="0.35">
      <c r="A373" s="635" t="s">
        <v>768</v>
      </c>
      <c r="B373" s="138"/>
      <c r="C373" s="636" t="s">
        <v>1401</v>
      </c>
      <c r="D373" s="621" t="s">
        <v>1859</v>
      </c>
      <c r="E373" s="622" t="s">
        <v>1649</v>
      </c>
      <c r="F373" s="141"/>
      <c r="G373" s="640" t="s">
        <v>2105</v>
      </c>
      <c r="H373" s="640" t="s">
        <v>2106</v>
      </c>
      <c r="I373" s="34"/>
      <c r="J373" s="642" t="s">
        <v>1843</v>
      </c>
      <c r="K373" s="643" t="s">
        <v>2122</v>
      </c>
      <c r="L373" s="643" t="s">
        <v>2123</v>
      </c>
      <c r="M373" s="34"/>
      <c r="N373" s="647" t="s">
        <v>1878</v>
      </c>
    </row>
    <row r="374" spans="1:14" customFormat="1" ht="14.5" hidden="1" x14ac:dyDescent="0.35">
      <c r="A374" s="635" t="s">
        <v>414</v>
      </c>
      <c r="B374" s="138"/>
      <c r="C374" s="636" t="s">
        <v>1431</v>
      </c>
      <c r="D374" s="621" t="s">
        <v>1859</v>
      </c>
      <c r="E374" s="622" t="s">
        <v>1649</v>
      </c>
      <c r="F374" s="141"/>
      <c r="G374" s="640" t="s">
        <v>2107</v>
      </c>
      <c r="H374" s="640" t="s">
        <v>2108</v>
      </c>
      <c r="I374" s="34"/>
      <c r="J374" s="642" t="s">
        <v>1843</v>
      </c>
      <c r="K374" s="643" t="s">
        <v>2122</v>
      </c>
      <c r="L374" s="643" t="s">
        <v>2123</v>
      </c>
      <c r="M374" s="34"/>
      <c r="N374" s="647" t="s">
        <v>1878</v>
      </c>
    </row>
    <row r="375" spans="1:14" customFormat="1" ht="14.5" hidden="1" x14ac:dyDescent="0.35">
      <c r="A375" s="635" t="s">
        <v>1037</v>
      </c>
      <c r="B375" s="138"/>
      <c r="C375" s="636" t="s">
        <v>1038</v>
      </c>
      <c r="D375" s="621" t="s">
        <v>1859</v>
      </c>
      <c r="E375" s="622" t="s">
        <v>1649</v>
      </c>
      <c r="F375" s="141"/>
      <c r="G375" s="640" t="s">
        <v>2109</v>
      </c>
      <c r="H375" s="640" t="s">
        <v>2110</v>
      </c>
      <c r="I375" s="34"/>
      <c r="J375" s="642" t="s">
        <v>1843</v>
      </c>
      <c r="K375" s="643" t="s">
        <v>2122</v>
      </c>
      <c r="L375" s="643" t="s">
        <v>2123</v>
      </c>
      <c r="M375" s="34"/>
      <c r="N375" s="647" t="s">
        <v>1878</v>
      </c>
    </row>
    <row r="376" spans="1:14" customFormat="1" ht="14.5" hidden="1" x14ac:dyDescent="0.35">
      <c r="A376" s="635" t="s">
        <v>69</v>
      </c>
      <c r="B376" s="138"/>
      <c r="C376" s="636" t="s">
        <v>1742</v>
      </c>
      <c r="D376" s="621" t="s">
        <v>1859</v>
      </c>
      <c r="E376" s="622" t="s">
        <v>1649</v>
      </c>
      <c r="F376" s="141"/>
      <c r="G376" s="640" t="s">
        <v>2045</v>
      </c>
      <c r="H376" s="640" t="s">
        <v>2046</v>
      </c>
      <c r="I376" s="34"/>
      <c r="J376" s="642" t="s">
        <v>1843</v>
      </c>
      <c r="K376" s="643" t="s">
        <v>2122</v>
      </c>
      <c r="L376" s="643" t="s">
        <v>2123</v>
      </c>
      <c r="M376" s="34"/>
      <c r="N376" s="647" t="s">
        <v>1878</v>
      </c>
    </row>
    <row r="377" spans="1:14" customFormat="1" ht="14.5" hidden="1" x14ac:dyDescent="0.35">
      <c r="A377" s="635" t="s">
        <v>1745</v>
      </c>
      <c r="B377" s="138"/>
      <c r="C377" s="636" t="s">
        <v>1040</v>
      </c>
      <c r="D377" s="621" t="s">
        <v>1859</v>
      </c>
      <c r="E377" s="622" t="s">
        <v>1649</v>
      </c>
      <c r="F377" s="141"/>
      <c r="G377" s="640" t="s">
        <v>2111</v>
      </c>
      <c r="H377" s="640" t="s">
        <v>2112</v>
      </c>
      <c r="I377" s="34"/>
      <c r="J377" s="642" t="s">
        <v>1843</v>
      </c>
      <c r="K377" s="643" t="s">
        <v>2122</v>
      </c>
      <c r="L377" s="643" t="s">
        <v>2123</v>
      </c>
      <c r="M377" s="34"/>
      <c r="N377" s="647" t="s">
        <v>1878</v>
      </c>
    </row>
    <row r="378" spans="1:14" customFormat="1" ht="14.5" hidden="1" x14ac:dyDescent="0.35">
      <c r="A378" s="635" t="s">
        <v>1825</v>
      </c>
      <c r="B378" s="138"/>
      <c r="C378" s="636" t="s">
        <v>1826</v>
      </c>
      <c r="D378" s="621" t="s">
        <v>1859</v>
      </c>
      <c r="E378" s="622" t="s">
        <v>1649</v>
      </c>
      <c r="F378" s="141"/>
      <c r="G378" s="640" t="s">
        <v>2060</v>
      </c>
      <c r="H378" s="640" t="s">
        <v>2061</v>
      </c>
      <c r="I378" s="34"/>
      <c r="J378" s="642" t="s">
        <v>1843</v>
      </c>
      <c r="K378" s="643" t="s">
        <v>2122</v>
      </c>
      <c r="L378" s="643" t="s">
        <v>2123</v>
      </c>
      <c r="M378" s="34"/>
      <c r="N378" s="647" t="s">
        <v>1878</v>
      </c>
    </row>
    <row r="379" spans="1:14" customFormat="1" ht="14.5" hidden="1" x14ac:dyDescent="0.35">
      <c r="A379" s="635" t="s">
        <v>24</v>
      </c>
      <c r="B379" s="138"/>
      <c r="C379" s="636" t="s">
        <v>25</v>
      </c>
      <c r="D379" s="621" t="s">
        <v>1859</v>
      </c>
      <c r="E379" s="622" t="s">
        <v>1649</v>
      </c>
      <c r="F379" s="141"/>
      <c r="G379" s="640" t="s">
        <v>2113</v>
      </c>
      <c r="H379" s="640" t="s">
        <v>2114</v>
      </c>
      <c r="I379" s="34"/>
      <c r="J379" s="642" t="s">
        <v>1843</v>
      </c>
      <c r="K379" s="643" t="s">
        <v>2122</v>
      </c>
      <c r="L379" s="643" t="s">
        <v>2123</v>
      </c>
      <c r="M379" s="34"/>
      <c r="N379" s="647" t="s">
        <v>1878</v>
      </c>
    </row>
    <row r="380" spans="1:14" customFormat="1" ht="14.5" hidden="1" x14ac:dyDescent="0.35">
      <c r="A380" s="635" t="s">
        <v>22</v>
      </c>
      <c r="B380" s="138"/>
      <c r="C380" s="636" t="s">
        <v>23</v>
      </c>
      <c r="D380" s="621" t="s">
        <v>1859</v>
      </c>
      <c r="E380" s="622" t="s">
        <v>1649</v>
      </c>
      <c r="F380" s="141"/>
      <c r="G380" s="640" t="s">
        <v>2056</v>
      </c>
      <c r="H380" s="640" t="s">
        <v>2057</v>
      </c>
      <c r="I380" s="34"/>
      <c r="J380" s="642" t="s">
        <v>1843</v>
      </c>
      <c r="K380" s="643" t="s">
        <v>2122</v>
      </c>
      <c r="L380" s="643" t="s">
        <v>2123</v>
      </c>
      <c r="M380" s="34"/>
      <c r="N380" s="647" t="s">
        <v>1878</v>
      </c>
    </row>
    <row r="381" spans="1:14" customFormat="1" ht="14.5" hidden="1" x14ac:dyDescent="0.35">
      <c r="A381" s="635" t="s">
        <v>1791</v>
      </c>
      <c r="B381" s="138"/>
      <c r="C381" s="636" t="s">
        <v>1792</v>
      </c>
      <c r="D381" s="621" t="s">
        <v>1859</v>
      </c>
      <c r="E381" s="622" t="s">
        <v>1649</v>
      </c>
      <c r="F381" s="141"/>
      <c r="G381" s="640" t="s">
        <v>2115</v>
      </c>
      <c r="H381" s="640" t="s">
        <v>2116</v>
      </c>
      <c r="I381" s="34"/>
      <c r="J381" s="642" t="s">
        <v>1843</v>
      </c>
      <c r="K381" s="643" t="s">
        <v>2122</v>
      </c>
      <c r="L381" s="643" t="s">
        <v>2123</v>
      </c>
      <c r="M381" s="34"/>
      <c r="N381" s="647" t="s">
        <v>1878</v>
      </c>
    </row>
    <row r="382" spans="1:14" customFormat="1" ht="14.5" hidden="1" x14ac:dyDescent="0.35">
      <c r="A382" s="635" t="s">
        <v>836</v>
      </c>
      <c r="B382" s="138"/>
      <c r="C382" s="636" t="s">
        <v>1061</v>
      </c>
      <c r="D382" s="621" t="s">
        <v>1859</v>
      </c>
      <c r="E382" s="622" t="s">
        <v>1649</v>
      </c>
      <c r="F382" s="141"/>
      <c r="G382" s="640" t="s">
        <v>2051</v>
      </c>
      <c r="H382" s="640" t="s">
        <v>2052</v>
      </c>
      <c r="I382" s="34"/>
      <c r="J382" s="642" t="s">
        <v>1843</v>
      </c>
      <c r="K382" s="643" t="s">
        <v>2122</v>
      </c>
      <c r="L382" s="643" t="s">
        <v>2123</v>
      </c>
      <c r="M382" s="34"/>
      <c r="N382" s="647" t="s">
        <v>1878</v>
      </c>
    </row>
    <row r="383" spans="1:14" customFormat="1" ht="14.5" hidden="1" x14ac:dyDescent="0.35">
      <c r="A383" s="635" t="s">
        <v>2002</v>
      </c>
      <c r="B383" s="138"/>
      <c r="C383" s="636" t="s">
        <v>1819</v>
      </c>
      <c r="D383" s="621" t="s">
        <v>1859</v>
      </c>
      <c r="E383" s="622" t="s">
        <v>1649</v>
      </c>
      <c r="F383" s="141"/>
      <c r="G383" s="640" t="s">
        <v>513</v>
      </c>
      <c r="H383" s="640" t="s">
        <v>2117</v>
      </c>
      <c r="I383" s="34" t="s">
        <v>2120</v>
      </c>
      <c r="J383" s="642" t="s">
        <v>1843</v>
      </c>
      <c r="K383" s="643" t="s">
        <v>2122</v>
      </c>
      <c r="L383" s="643" t="s">
        <v>2123</v>
      </c>
      <c r="M383" s="34"/>
      <c r="N383" s="647" t="s">
        <v>1878</v>
      </c>
    </row>
    <row r="384" spans="1:14" customFormat="1" ht="14.5" hidden="1" x14ac:dyDescent="0.35">
      <c r="A384" s="635" t="s">
        <v>1833</v>
      </c>
      <c r="B384" s="138"/>
      <c r="C384" s="636" t="s">
        <v>1834</v>
      </c>
      <c r="D384" s="621" t="s">
        <v>1859</v>
      </c>
      <c r="E384" s="622" t="s">
        <v>1649</v>
      </c>
      <c r="F384" s="141"/>
      <c r="G384" s="640" t="s">
        <v>2058</v>
      </c>
      <c r="H384" s="640" t="s">
        <v>2059</v>
      </c>
      <c r="I384" s="34"/>
      <c r="J384" s="642" t="s">
        <v>1843</v>
      </c>
      <c r="K384" s="643" t="s">
        <v>2122</v>
      </c>
      <c r="L384" s="643" t="s">
        <v>2123</v>
      </c>
      <c r="M384" s="34"/>
      <c r="N384" s="647" t="s">
        <v>1878</v>
      </c>
    </row>
    <row r="385" spans="1:46" customFormat="1" ht="14.5" hidden="1" x14ac:dyDescent="0.35">
      <c r="A385" s="635" t="s">
        <v>1732</v>
      </c>
      <c r="B385" s="138"/>
      <c r="C385" s="636" t="s">
        <v>1733</v>
      </c>
      <c r="D385" s="621" t="s">
        <v>1859</v>
      </c>
      <c r="E385" s="622" t="s">
        <v>1649</v>
      </c>
      <c r="F385" s="141"/>
      <c r="G385" s="640" t="s">
        <v>2118</v>
      </c>
      <c r="H385" s="640" t="s">
        <v>2119</v>
      </c>
      <c r="I385" s="34"/>
      <c r="J385" s="642" t="s">
        <v>1843</v>
      </c>
      <c r="K385" s="643" t="s">
        <v>2122</v>
      </c>
      <c r="L385" s="643" t="s">
        <v>2123</v>
      </c>
      <c r="M385" s="34"/>
      <c r="N385" s="647" t="s">
        <v>1878</v>
      </c>
    </row>
    <row r="386" spans="1:46" customFormat="1" ht="14.5" hidden="1" x14ac:dyDescent="0.35">
      <c r="A386" s="635" t="s">
        <v>51</v>
      </c>
      <c r="B386" s="138"/>
      <c r="C386" s="636" t="s">
        <v>52</v>
      </c>
      <c r="D386" s="621" t="s">
        <v>1859</v>
      </c>
      <c r="E386" s="622" t="s">
        <v>1649</v>
      </c>
      <c r="F386" s="141"/>
      <c r="G386" s="640" t="s">
        <v>2117</v>
      </c>
      <c r="H386" s="640" t="s">
        <v>2117</v>
      </c>
      <c r="I386" t="s">
        <v>2121</v>
      </c>
      <c r="J386" s="642" t="s">
        <v>1843</v>
      </c>
      <c r="K386" s="643" t="s">
        <v>2122</v>
      </c>
      <c r="L386" s="644" t="s">
        <v>2123</v>
      </c>
      <c r="M386" s="34"/>
      <c r="N386" s="647" t="s">
        <v>2124</v>
      </c>
    </row>
    <row r="387" spans="1:46" customFormat="1" ht="14.5" hidden="1" x14ac:dyDescent="0.35">
      <c r="A387" s="635" t="s">
        <v>1535</v>
      </c>
      <c r="B387" s="138"/>
      <c r="C387" s="636" t="s">
        <v>2125</v>
      </c>
      <c r="D387" s="621" t="s">
        <v>1859</v>
      </c>
      <c r="E387" s="622" t="s">
        <v>1649</v>
      </c>
      <c r="F387" s="141"/>
      <c r="G387" s="640">
        <v>47</v>
      </c>
      <c r="H387" s="640">
        <v>53</v>
      </c>
      <c r="I387" s="34"/>
      <c r="J387" s="642" t="s">
        <v>1843</v>
      </c>
      <c r="K387" s="643" t="s">
        <v>2126</v>
      </c>
      <c r="L387" s="643" t="s">
        <v>2123</v>
      </c>
      <c r="M387" s="34"/>
      <c r="N387" s="647" t="s">
        <v>1878</v>
      </c>
    </row>
    <row r="388" spans="1:46" customFormat="1" ht="14.5" hidden="1" x14ac:dyDescent="0.35">
      <c r="A388" s="637" t="s">
        <v>503</v>
      </c>
      <c r="B388" s="138"/>
      <c r="C388" s="636" t="s">
        <v>504</v>
      </c>
      <c r="D388" s="621" t="s">
        <v>1859</v>
      </c>
      <c r="E388" s="622" t="s">
        <v>1649</v>
      </c>
      <c r="F388" s="141"/>
      <c r="G388" s="640">
        <v>20.25</v>
      </c>
      <c r="H388" s="640">
        <v>26.25</v>
      </c>
      <c r="I388" s="34"/>
      <c r="J388" s="642" t="s">
        <v>1843</v>
      </c>
      <c r="K388" s="643" t="s">
        <v>2128</v>
      </c>
      <c r="L388" s="643" t="s">
        <v>2129</v>
      </c>
      <c r="M388" s="34"/>
      <c r="N388" s="647" t="s">
        <v>2130</v>
      </c>
    </row>
    <row r="389" spans="1:46" s="626" customFormat="1" ht="13" hidden="1" x14ac:dyDescent="0.3">
      <c r="A389" s="141"/>
      <c r="B389" s="138"/>
      <c r="C389" s="75"/>
      <c r="D389" s="621"/>
      <c r="E389" s="622"/>
      <c r="F389" s="75"/>
      <c r="G389" s="639"/>
      <c r="H389" s="634"/>
      <c r="I389" s="629"/>
      <c r="J389" s="642"/>
      <c r="K389" s="643"/>
      <c r="L389" s="625"/>
      <c r="M389" s="623"/>
      <c r="N389" s="625"/>
    </row>
    <row r="390" spans="1:46" s="626" customFormat="1" ht="13" hidden="1" x14ac:dyDescent="0.3">
      <c r="A390" s="632"/>
      <c r="B390" s="628"/>
      <c r="C390" s="80"/>
      <c r="D390" s="633"/>
      <c r="E390" s="633"/>
      <c r="F390" s="629"/>
      <c r="G390" s="630"/>
      <c r="H390" s="630"/>
      <c r="I390" s="629"/>
      <c r="J390" s="642"/>
      <c r="K390" s="631"/>
      <c r="L390" s="625"/>
      <c r="M390" s="623"/>
      <c r="N390" s="625"/>
    </row>
    <row r="391" spans="1:46" ht="24" hidden="1" customHeight="1" x14ac:dyDescent="0.35">
      <c r="A391" s="599" t="s">
        <v>26</v>
      </c>
      <c r="B391" s="599"/>
      <c r="C391" s="349" t="s">
        <v>27</v>
      </c>
      <c r="D391" s="343" t="s">
        <v>28</v>
      </c>
      <c r="E391" s="600" t="s">
        <v>986</v>
      </c>
      <c r="F391" s="80"/>
      <c r="G391" s="601">
        <v>32</v>
      </c>
      <c r="H391" s="601">
        <v>38</v>
      </c>
      <c r="I391" s="349"/>
      <c r="J391" s="349" t="s">
        <v>19</v>
      </c>
      <c r="K391" s="550">
        <v>45657</v>
      </c>
      <c r="L391" s="349"/>
      <c r="M391" s="349" t="s">
        <v>20</v>
      </c>
      <c r="N391" s="351" t="s">
        <v>21</v>
      </c>
    </row>
    <row r="392" spans="1:46" ht="15.65" hidden="1" customHeight="1" x14ac:dyDescent="0.35">
      <c r="A392" s="188" t="s">
        <v>29</v>
      </c>
      <c r="B392" s="188"/>
      <c r="C392" s="99" t="s">
        <v>30</v>
      </c>
      <c r="D392" s="168" t="s">
        <v>28</v>
      </c>
      <c r="E392" s="150" t="s">
        <v>986</v>
      </c>
      <c r="F392" s="75"/>
      <c r="G392" s="106">
        <v>46</v>
      </c>
      <c r="H392" s="106">
        <v>52</v>
      </c>
      <c r="I392" s="99"/>
      <c r="J392" s="99" t="s">
        <v>19</v>
      </c>
      <c r="K392" s="107">
        <v>45657</v>
      </c>
      <c r="L392" s="99"/>
      <c r="M392" s="99" t="s">
        <v>20</v>
      </c>
      <c r="N392" s="108" t="s">
        <v>21</v>
      </c>
    </row>
    <row r="393" spans="1:46" ht="15.65" hidden="1" customHeight="1" x14ac:dyDescent="0.35">
      <c r="A393" s="188" t="s">
        <v>31</v>
      </c>
      <c r="B393" s="188"/>
      <c r="C393" s="99" t="s">
        <v>32</v>
      </c>
      <c r="D393" s="168" t="s">
        <v>28</v>
      </c>
      <c r="E393" s="150" t="s">
        <v>986</v>
      </c>
      <c r="F393" s="75"/>
      <c r="G393" s="106">
        <v>67</v>
      </c>
      <c r="H393" s="106">
        <v>60.7</v>
      </c>
      <c r="I393" s="99"/>
      <c r="J393" s="99" t="s">
        <v>19</v>
      </c>
      <c r="K393" s="107">
        <v>45657</v>
      </c>
      <c r="L393" s="99"/>
      <c r="M393" s="99" t="s">
        <v>20</v>
      </c>
      <c r="N393" s="108" t="s">
        <v>21</v>
      </c>
    </row>
    <row r="394" spans="1:46" ht="15.65" hidden="1" customHeight="1" x14ac:dyDescent="0.35">
      <c r="A394" s="188" t="s">
        <v>33</v>
      </c>
      <c r="B394" s="188"/>
      <c r="C394" s="99" t="s">
        <v>34</v>
      </c>
      <c r="D394" s="168" t="s">
        <v>28</v>
      </c>
      <c r="E394" s="150" t="s">
        <v>986</v>
      </c>
      <c r="F394" s="75"/>
      <c r="G394" s="106">
        <v>50</v>
      </c>
      <c r="H394" s="106">
        <v>56</v>
      </c>
      <c r="I394" s="99"/>
      <c r="J394" s="99" t="s">
        <v>19</v>
      </c>
      <c r="K394" s="107">
        <v>45657</v>
      </c>
      <c r="L394" s="99"/>
      <c r="M394" s="99" t="s">
        <v>20</v>
      </c>
      <c r="N394" s="108" t="s">
        <v>21</v>
      </c>
    </row>
    <row r="395" spans="1:46" ht="15.65" hidden="1" customHeight="1" x14ac:dyDescent="0.35">
      <c r="A395" s="188" t="s">
        <v>35</v>
      </c>
      <c r="B395" s="188"/>
      <c r="C395" s="99" t="s">
        <v>36</v>
      </c>
      <c r="D395" s="168" t="s">
        <v>28</v>
      </c>
      <c r="E395" s="150" t="s">
        <v>986</v>
      </c>
      <c r="F395" s="75"/>
      <c r="G395" s="106">
        <v>52.6</v>
      </c>
      <c r="H395" s="106">
        <v>58.6</v>
      </c>
      <c r="I395" s="99"/>
      <c r="J395" s="99" t="s">
        <v>19</v>
      </c>
      <c r="K395" s="107">
        <v>45657</v>
      </c>
      <c r="L395" s="99"/>
      <c r="M395" s="99" t="s">
        <v>20</v>
      </c>
      <c r="N395" s="108" t="s">
        <v>21</v>
      </c>
    </row>
    <row r="396" spans="1:46" ht="15.65" hidden="1" customHeight="1" x14ac:dyDescent="0.35">
      <c r="A396" s="188" t="s">
        <v>37</v>
      </c>
      <c r="B396" s="188"/>
      <c r="C396" s="99" t="s">
        <v>38</v>
      </c>
      <c r="D396" s="168" t="s">
        <v>28</v>
      </c>
      <c r="E396" s="150" t="s">
        <v>986</v>
      </c>
      <c r="F396" s="75"/>
      <c r="G396" s="106">
        <v>56</v>
      </c>
      <c r="H396" s="106">
        <v>62</v>
      </c>
      <c r="I396" s="99"/>
      <c r="J396" s="99" t="s">
        <v>19</v>
      </c>
      <c r="K396" s="107">
        <v>45657</v>
      </c>
      <c r="L396" s="99"/>
      <c r="M396" s="99" t="s">
        <v>20</v>
      </c>
      <c r="N396" s="108" t="s">
        <v>21</v>
      </c>
    </row>
    <row r="397" spans="1:46" ht="15.65" hidden="1" customHeight="1" x14ac:dyDescent="0.35">
      <c r="A397" s="188" t="s">
        <v>39</v>
      </c>
      <c r="B397" s="188"/>
      <c r="C397" s="99" t="s">
        <v>40</v>
      </c>
      <c r="D397" s="168" t="s">
        <v>28</v>
      </c>
      <c r="E397" s="150" t="s">
        <v>986</v>
      </c>
      <c r="F397" s="75"/>
      <c r="G397" s="106">
        <v>48</v>
      </c>
      <c r="H397" s="106">
        <v>54</v>
      </c>
      <c r="I397" s="99"/>
      <c r="J397" s="99" t="s">
        <v>19</v>
      </c>
      <c r="K397" s="107">
        <v>45657</v>
      </c>
      <c r="L397" s="99"/>
      <c r="M397" s="99" t="s">
        <v>20</v>
      </c>
      <c r="N397" s="108" t="s">
        <v>21</v>
      </c>
    </row>
    <row r="398" spans="1:46" s="89" customFormat="1" ht="15.65" hidden="1" customHeight="1" x14ac:dyDescent="0.35">
      <c r="A398" s="188" t="s">
        <v>41</v>
      </c>
      <c r="B398" s="188"/>
      <c r="C398" s="99" t="s">
        <v>42</v>
      </c>
      <c r="D398" s="168" t="s">
        <v>28</v>
      </c>
      <c r="E398" s="150" t="s">
        <v>986</v>
      </c>
      <c r="F398" s="75"/>
      <c r="G398" s="106">
        <v>62</v>
      </c>
      <c r="H398" s="106">
        <v>68</v>
      </c>
      <c r="I398" s="99"/>
      <c r="J398" s="99" t="s">
        <v>19</v>
      </c>
      <c r="K398" s="107">
        <v>45657</v>
      </c>
      <c r="L398" s="99"/>
      <c r="M398" s="99" t="s">
        <v>20</v>
      </c>
      <c r="N398" s="108" t="s">
        <v>21</v>
      </c>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row>
    <row r="399" spans="1:46" s="89" customFormat="1" ht="15.65" hidden="1" customHeight="1" x14ac:dyDescent="0.35">
      <c r="A399" s="188" t="s">
        <v>43</v>
      </c>
      <c r="B399" s="188"/>
      <c r="C399" s="99" t="s">
        <v>44</v>
      </c>
      <c r="D399" s="168" t="s">
        <v>28</v>
      </c>
      <c r="E399" s="150" t="s">
        <v>986</v>
      </c>
      <c r="F399" s="75"/>
      <c r="G399" s="106">
        <v>78</v>
      </c>
      <c r="H399" s="106">
        <v>84</v>
      </c>
      <c r="I399" s="99"/>
      <c r="J399" s="99" t="s">
        <v>19</v>
      </c>
      <c r="K399" s="107">
        <v>45657</v>
      </c>
      <c r="L399" s="99"/>
      <c r="M399" s="99" t="s">
        <v>20</v>
      </c>
      <c r="N399" s="108" t="s">
        <v>21</v>
      </c>
      <c r="O399" s="71"/>
      <c r="P399" s="71"/>
      <c r="Q399" s="71"/>
      <c r="R399" s="71"/>
      <c r="S399" s="71"/>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c r="AR399" s="71"/>
      <c r="AS399" s="71"/>
      <c r="AT399" s="71"/>
    </row>
    <row r="400" spans="1:46" ht="15.65" hidden="1" customHeight="1" x14ac:dyDescent="0.35">
      <c r="A400" s="188" t="s">
        <v>45</v>
      </c>
      <c r="B400" s="188"/>
      <c r="C400" s="99" t="s">
        <v>46</v>
      </c>
      <c r="D400" s="168" t="s">
        <v>28</v>
      </c>
      <c r="E400" s="150" t="s">
        <v>986</v>
      </c>
      <c r="F400" s="75"/>
      <c r="G400" s="106">
        <v>25</v>
      </c>
      <c r="H400" s="106">
        <v>31</v>
      </c>
      <c r="I400" s="99"/>
      <c r="J400" s="99" t="s">
        <v>19</v>
      </c>
      <c r="K400" s="107">
        <v>45657</v>
      </c>
      <c r="L400" s="99"/>
      <c r="M400" s="99" t="s">
        <v>20</v>
      </c>
      <c r="N400" s="108" t="s">
        <v>21</v>
      </c>
    </row>
    <row r="401" spans="1:46" ht="15.65" hidden="1" customHeight="1" x14ac:dyDescent="0.35">
      <c r="A401" s="188" t="s">
        <v>47</v>
      </c>
      <c r="B401" s="188"/>
      <c r="C401" s="99" t="s">
        <v>48</v>
      </c>
      <c r="D401" s="168" t="s">
        <v>28</v>
      </c>
      <c r="E401" s="150" t="s">
        <v>986</v>
      </c>
      <c r="F401" s="75"/>
      <c r="G401" s="106">
        <v>32</v>
      </c>
      <c r="H401" s="106">
        <v>38</v>
      </c>
      <c r="I401" s="99"/>
      <c r="J401" s="99" t="s">
        <v>19</v>
      </c>
      <c r="K401" s="107">
        <v>45657</v>
      </c>
      <c r="L401" s="99"/>
      <c r="M401" s="99" t="s">
        <v>20</v>
      </c>
      <c r="N401" s="108" t="s">
        <v>21</v>
      </c>
    </row>
    <row r="402" spans="1:46" ht="15.65" hidden="1" customHeight="1" x14ac:dyDescent="0.35">
      <c r="A402" s="188" t="s">
        <v>49</v>
      </c>
      <c r="B402" s="188"/>
      <c r="C402" s="99" t="s">
        <v>50</v>
      </c>
      <c r="D402" s="168" t="s">
        <v>28</v>
      </c>
      <c r="E402" s="150" t="s">
        <v>986</v>
      </c>
      <c r="F402" s="75"/>
      <c r="G402" s="106">
        <v>60</v>
      </c>
      <c r="H402" s="106">
        <v>66</v>
      </c>
      <c r="I402" s="99"/>
      <c r="J402" s="99" t="s">
        <v>19</v>
      </c>
      <c r="K402" s="107">
        <v>45657</v>
      </c>
      <c r="L402" s="99"/>
      <c r="M402" s="99" t="s">
        <v>20</v>
      </c>
      <c r="N402" s="108" t="s">
        <v>21</v>
      </c>
    </row>
    <row r="403" spans="1:46" ht="15.65" hidden="1" customHeight="1" x14ac:dyDescent="0.35">
      <c r="A403" s="188" t="s">
        <v>51</v>
      </c>
      <c r="B403" s="188"/>
      <c r="C403" s="99" t="s">
        <v>52</v>
      </c>
      <c r="D403" s="168" t="s">
        <v>28</v>
      </c>
      <c r="E403" s="150" t="s">
        <v>986</v>
      </c>
      <c r="F403" s="75"/>
      <c r="G403" s="106"/>
      <c r="H403" s="106"/>
      <c r="I403" s="106">
        <v>32</v>
      </c>
      <c r="J403" s="99" t="s">
        <v>19</v>
      </c>
      <c r="K403" s="107">
        <v>45657</v>
      </c>
      <c r="L403" s="99" t="s">
        <v>53</v>
      </c>
      <c r="M403" s="99" t="s">
        <v>20</v>
      </c>
      <c r="N403" s="108" t="s">
        <v>54</v>
      </c>
    </row>
    <row r="404" spans="1:46" s="89" customFormat="1" ht="15.65" hidden="1" customHeight="1" x14ac:dyDescent="0.35">
      <c r="A404" s="101">
        <v>22.557039</v>
      </c>
      <c r="B404" s="101"/>
      <c r="C404" s="345" t="s">
        <v>55</v>
      </c>
      <c r="D404" s="168" t="s">
        <v>28</v>
      </c>
      <c r="E404" s="150" t="s">
        <v>986</v>
      </c>
      <c r="F404" s="75"/>
      <c r="G404" s="116">
        <v>44.7</v>
      </c>
      <c r="H404" s="116">
        <v>50.7</v>
      </c>
      <c r="I404" s="99"/>
      <c r="J404" s="350" t="s">
        <v>56</v>
      </c>
      <c r="K404" s="101" t="s">
        <v>57</v>
      </c>
      <c r="L404" s="101" t="s">
        <v>58</v>
      </c>
      <c r="M404" s="99" t="s">
        <v>20</v>
      </c>
      <c r="N404" s="174" t="s">
        <v>59</v>
      </c>
      <c r="O404" s="71"/>
      <c r="P404" s="71"/>
      <c r="Q404" s="71"/>
      <c r="R404" s="71"/>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row>
    <row r="405" spans="1:46" s="89" customFormat="1" ht="15.65" hidden="1" customHeight="1" x14ac:dyDescent="0.35">
      <c r="A405" s="99" t="s">
        <v>60</v>
      </c>
      <c r="B405" s="99"/>
      <c r="C405" s="99" t="s">
        <v>61</v>
      </c>
      <c r="D405" s="168" t="s">
        <v>28</v>
      </c>
      <c r="E405" s="150" t="s">
        <v>986</v>
      </c>
      <c r="F405" s="75"/>
      <c r="G405" s="117">
        <v>73</v>
      </c>
      <c r="H405" s="117">
        <v>79</v>
      </c>
      <c r="I405" s="99"/>
      <c r="J405" s="99" t="s">
        <v>56</v>
      </c>
      <c r="K405" s="101" t="s">
        <v>57</v>
      </c>
      <c r="L405" s="101" t="s">
        <v>58</v>
      </c>
      <c r="M405" s="99" t="s">
        <v>20</v>
      </c>
      <c r="N405" s="174" t="s">
        <v>62</v>
      </c>
      <c r="O405" s="71"/>
      <c r="P405" s="71"/>
      <c r="Q405" s="71"/>
      <c r="R405" s="71"/>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c r="AS405" s="71"/>
      <c r="AT405" s="71"/>
    </row>
    <row r="406" spans="1:46" ht="15.65" hidden="1" customHeight="1" x14ac:dyDescent="0.35">
      <c r="A406" s="340" t="s">
        <v>63</v>
      </c>
      <c r="B406" s="340"/>
      <c r="C406" s="99" t="s">
        <v>64</v>
      </c>
      <c r="D406" s="168" t="s">
        <v>28</v>
      </c>
      <c r="E406" s="150" t="s">
        <v>986</v>
      </c>
      <c r="F406" s="75"/>
      <c r="G406" s="117">
        <v>28</v>
      </c>
      <c r="H406" s="117">
        <v>34</v>
      </c>
      <c r="I406" s="99"/>
      <c r="J406" s="99" t="s">
        <v>65</v>
      </c>
      <c r="K406" s="107">
        <v>45657</v>
      </c>
      <c r="L406" s="99"/>
      <c r="M406" s="99" t="s">
        <v>20</v>
      </c>
      <c r="N406" s="108"/>
    </row>
    <row r="407" spans="1:46" ht="15.65" hidden="1" customHeight="1" x14ac:dyDescent="0.35">
      <c r="A407" s="99">
        <v>57.18</v>
      </c>
      <c r="B407" s="99"/>
      <c r="C407" s="99" t="s">
        <v>66</v>
      </c>
      <c r="D407" s="168" t="s">
        <v>28</v>
      </c>
      <c r="E407" s="150" t="s">
        <v>986</v>
      </c>
      <c r="F407" s="75"/>
      <c r="G407" s="117"/>
      <c r="H407" s="117"/>
      <c r="I407" s="99">
        <v>43.95</v>
      </c>
      <c r="J407" s="99" t="s">
        <v>56</v>
      </c>
      <c r="K407" s="107">
        <v>45657</v>
      </c>
      <c r="L407" s="182" t="s">
        <v>67</v>
      </c>
      <c r="M407" s="99" t="s">
        <v>20</v>
      </c>
      <c r="N407" s="108" t="s">
        <v>68</v>
      </c>
    </row>
    <row r="408" spans="1:46" ht="15.65" hidden="1" customHeight="1" x14ac:dyDescent="0.35">
      <c r="A408" s="188" t="s">
        <v>69</v>
      </c>
      <c r="B408" s="188"/>
      <c r="C408" s="99" t="s">
        <v>70</v>
      </c>
      <c r="D408" s="168" t="s">
        <v>28</v>
      </c>
      <c r="E408" s="150" t="s">
        <v>986</v>
      </c>
      <c r="F408" s="75"/>
      <c r="G408" s="117">
        <v>53.05</v>
      </c>
      <c r="H408" s="117">
        <v>59.05</v>
      </c>
      <c r="I408" s="99"/>
      <c r="J408" s="99" t="s">
        <v>56</v>
      </c>
      <c r="K408" s="107">
        <v>45657</v>
      </c>
      <c r="L408" s="99" t="s">
        <v>71</v>
      </c>
      <c r="M408" s="99" t="s">
        <v>20</v>
      </c>
      <c r="N408" s="108"/>
    </row>
    <row r="409" spans="1:46" ht="15.65" hidden="1" customHeight="1" x14ac:dyDescent="0.35">
      <c r="A409" s="188" t="s">
        <v>72</v>
      </c>
      <c r="B409" s="188"/>
      <c r="C409" s="99" t="s">
        <v>73</v>
      </c>
      <c r="D409" s="168" t="s">
        <v>28</v>
      </c>
      <c r="E409" s="150" t="s">
        <v>986</v>
      </c>
      <c r="F409" s="75"/>
      <c r="G409" s="117">
        <v>73.05</v>
      </c>
      <c r="H409" s="117">
        <v>79.05</v>
      </c>
      <c r="I409" s="99"/>
      <c r="J409" s="99" t="s">
        <v>56</v>
      </c>
      <c r="K409" s="107">
        <v>45657</v>
      </c>
      <c r="L409" s="99" t="s">
        <v>71</v>
      </c>
      <c r="M409" s="99" t="s">
        <v>20</v>
      </c>
      <c r="N409" s="108"/>
    </row>
    <row r="410" spans="1:46" ht="15.65" hidden="1" customHeight="1" x14ac:dyDescent="0.35">
      <c r="A410" s="188" t="s">
        <v>74</v>
      </c>
      <c r="B410" s="188"/>
      <c r="C410" s="99" t="s">
        <v>75</v>
      </c>
      <c r="D410" s="168" t="s">
        <v>28</v>
      </c>
      <c r="E410" s="150" t="s">
        <v>986</v>
      </c>
      <c r="F410" s="75"/>
      <c r="G410" s="117">
        <v>51.05</v>
      </c>
      <c r="H410" s="117">
        <v>57.05</v>
      </c>
      <c r="I410" s="99"/>
      <c r="J410" s="99" t="s">
        <v>56</v>
      </c>
      <c r="K410" s="107">
        <v>45657</v>
      </c>
      <c r="L410" s="99" t="s">
        <v>71</v>
      </c>
      <c r="M410" s="99" t="s">
        <v>20</v>
      </c>
      <c r="N410" s="108"/>
    </row>
    <row r="411" spans="1:46" s="89" customFormat="1" ht="15.65" hidden="1" customHeight="1" x14ac:dyDescent="0.35">
      <c r="A411" s="101" t="s">
        <v>76</v>
      </c>
      <c r="B411" s="101"/>
      <c r="C411" s="101" t="s">
        <v>77</v>
      </c>
      <c r="D411" s="168" t="s">
        <v>28</v>
      </c>
      <c r="E411" s="150" t="s">
        <v>986</v>
      </c>
      <c r="F411" s="75"/>
      <c r="G411" s="116">
        <v>42.05</v>
      </c>
      <c r="H411" s="116">
        <v>48.05</v>
      </c>
      <c r="I411" s="99"/>
      <c r="J411" s="99" t="s">
        <v>56</v>
      </c>
      <c r="K411" s="101" t="s">
        <v>78</v>
      </c>
      <c r="L411" s="99" t="s">
        <v>79</v>
      </c>
      <c r="M411" s="99" t="s">
        <v>20</v>
      </c>
      <c r="N411" s="101" t="s">
        <v>80</v>
      </c>
      <c r="O411" s="71"/>
      <c r="P411" s="71"/>
      <c r="Q411" s="71"/>
      <c r="R411" s="71"/>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c r="AS411" s="71"/>
      <c r="AT411" s="71"/>
    </row>
    <row r="412" spans="1:46" s="89" customFormat="1" ht="15.65" hidden="1" customHeight="1" x14ac:dyDescent="0.25">
      <c r="A412" s="101" t="s">
        <v>81</v>
      </c>
      <c r="B412" s="101"/>
      <c r="C412" s="101" t="s">
        <v>82</v>
      </c>
      <c r="D412" s="168" t="s">
        <v>28</v>
      </c>
      <c r="E412" s="150" t="s">
        <v>986</v>
      </c>
      <c r="F412" s="75"/>
      <c r="G412" s="116">
        <v>34.950000000000003</v>
      </c>
      <c r="H412" s="116">
        <v>40.950000000000003</v>
      </c>
      <c r="I412" s="99"/>
      <c r="J412" s="99" t="s">
        <v>56</v>
      </c>
      <c r="K412" s="103" t="s">
        <v>78</v>
      </c>
      <c r="L412" s="99" t="s">
        <v>79</v>
      </c>
      <c r="M412" s="99" t="s">
        <v>20</v>
      </c>
      <c r="N412" s="101" t="s">
        <v>59</v>
      </c>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row>
    <row r="413" spans="1:46" ht="15.65" hidden="1" customHeight="1" x14ac:dyDescent="0.25">
      <c r="A413" s="101">
        <v>22.037474</v>
      </c>
      <c r="B413" s="101"/>
      <c r="C413" s="101" t="s">
        <v>83</v>
      </c>
      <c r="D413" s="168" t="s">
        <v>28</v>
      </c>
      <c r="E413" s="150" t="s">
        <v>986</v>
      </c>
      <c r="F413" s="75"/>
      <c r="G413" s="116">
        <v>42</v>
      </c>
      <c r="H413" s="116">
        <v>48</v>
      </c>
      <c r="I413" s="99"/>
      <c r="J413" s="99" t="s">
        <v>56</v>
      </c>
      <c r="K413" s="103" t="s">
        <v>78</v>
      </c>
      <c r="L413" s="99" t="s">
        <v>79</v>
      </c>
      <c r="M413" s="99" t="s">
        <v>20</v>
      </c>
      <c r="N413" s="101" t="s">
        <v>59</v>
      </c>
    </row>
    <row r="414" spans="1:46" ht="15.65" hidden="1" customHeight="1" x14ac:dyDescent="0.25">
      <c r="A414" s="188" t="s">
        <v>84</v>
      </c>
      <c r="B414" s="188"/>
      <c r="C414" s="99" t="s">
        <v>85</v>
      </c>
      <c r="D414" s="168" t="s">
        <v>28</v>
      </c>
      <c r="E414" s="150" t="s">
        <v>986</v>
      </c>
      <c r="F414" s="75"/>
      <c r="G414" s="117">
        <v>53</v>
      </c>
      <c r="H414" s="117">
        <v>59</v>
      </c>
      <c r="I414" s="99"/>
      <c r="J414" s="99" t="s">
        <v>56</v>
      </c>
      <c r="K414" s="103" t="s">
        <v>78</v>
      </c>
      <c r="L414" s="99" t="s">
        <v>86</v>
      </c>
      <c r="M414" s="99" t="s">
        <v>20</v>
      </c>
      <c r="N414" s="101" t="s">
        <v>59</v>
      </c>
    </row>
    <row r="415" spans="1:46" ht="15.65" hidden="1" customHeight="1" x14ac:dyDescent="0.25">
      <c r="A415" s="188" t="s">
        <v>87</v>
      </c>
      <c r="B415" s="188"/>
      <c r="C415" s="99" t="s">
        <v>88</v>
      </c>
      <c r="D415" s="168" t="s">
        <v>28</v>
      </c>
      <c r="E415" s="150" t="s">
        <v>986</v>
      </c>
      <c r="F415" s="75"/>
      <c r="G415" s="117">
        <v>350.05</v>
      </c>
      <c r="H415" s="117">
        <v>356.05</v>
      </c>
      <c r="I415" s="99"/>
      <c r="J415" s="99" t="s">
        <v>56</v>
      </c>
      <c r="K415" s="103" t="s">
        <v>78</v>
      </c>
      <c r="L415" s="99" t="s">
        <v>89</v>
      </c>
      <c r="M415" s="99" t="s">
        <v>20</v>
      </c>
      <c r="N415" s="101" t="s">
        <v>59</v>
      </c>
    </row>
    <row r="416" spans="1:46" ht="15.65" hidden="1" customHeight="1" x14ac:dyDescent="0.25">
      <c r="A416" s="188" t="s">
        <v>90</v>
      </c>
      <c r="B416" s="188"/>
      <c r="C416" s="99" t="s">
        <v>91</v>
      </c>
      <c r="D416" s="168" t="s">
        <v>28</v>
      </c>
      <c r="E416" s="150" t="s">
        <v>986</v>
      </c>
      <c r="F416" s="75"/>
      <c r="G416" s="117">
        <v>50.05</v>
      </c>
      <c r="H416" s="117">
        <v>56.05</v>
      </c>
      <c r="I416" s="99"/>
      <c r="J416" s="99" t="s">
        <v>56</v>
      </c>
      <c r="K416" s="103" t="s">
        <v>78</v>
      </c>
      <c r="L416" s="99" t="s">
        <v>89</v>
      </c>
      <c r="M416" s="99" t="s">
        <v>20</v>
      </c>
      <c r="N416" s="101" t="s">
        <v>59</v>
      </c>
    </row>
    <row r="417" spans="1:46" s="89" customFormat="1" ht="15.65" hidden="1" customHeight="1" x14ac:dyDescent="0.35">
      <c r="A417" s="188" t="s">
        <v>92</v>
      </c>
      <c r="B417" s="188"/>
      <c r="C417" s="99" t="s">
        <v>93</v>
      </c>
      <c r="D417" s="168" t="s">
        <v>28</v>
      </c>
      <c r="E417" s="150" t="s">
        <v>986</v>
      </c>
      <c r="F417" s="75"/>
      <c r="G417" s="117">
        <v>98</v>
      </c>
      <c r="H417" s="117">
        <v>104</v>
      </c>
      <c r="I417" s="99"/>
      <c r="J417" s="99" t="s">
        <v>56</v>
      </c>
      <c r="K417" s="107" t="s">
        <v>94</v>
      </c>
      <c r="L417" s="99" t="s">
        <v>95</v>
      </c>
      <c r="M417" s="99" t="s">
        <v>20</v>
      </c>
      <c r="N417" s="101" t="s">
        <v>59</v>
      </c>
      <c r="O417" s="71"/>
      <c r="P417" s="71"/>
      <c r="Q417" s="71"/>
      <c r="R417" s="71"/>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c r="AS417" s="71"/>
      <c r="AT417" s="71"/>
    </row>
    <row r="418" spans="1:46" s="89" customFormat="1" ht="15.65" hidden="1" customHeight="1" x14ac:dyDescent="0.35">
      <c r="A418" s="188" t="s">
        <v>96</v>
      </c>
      <c r="B418" s="188"/>
      <c r="C418" s="99" t="s">
        <v>97</v>
      </c>
      <c r="D418" s="168" t="s">
        <v>28</v>
      </c>
      <c r="E418" s="150" t="s">
        <v>986</v>
      </c>
      <c r="F418" s="75"/>
      <c r="G418" s="106">
        <v>48.15</v>
      </c>
      <c r="H418" s="106">
        <v>53.15</v>
      </c>
      <c r="I418" s="99"/>
      <c r="J418" s="99" t="s">
        <v>98</v>
      </c>
      <c r="K418" s="107">
        <v>45657</v>
      </c>
      <c r="L418" s="99" t="s">
        <v>99</v>
      </c>
      <c r="M418" s="99" t="s">
        <v>100</v>
      </c>
      <c r="N418" s="108"/>
      <c r="O418" s="71"/>
      <c r="P418" s="71"/>
      <c r="Q418" s="71"/>
      <c r="R418" s="71"/>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c r="AS418" s="71"/>
      <c r="AT418" s="71"/>
    </row>
    <row r="419" spans="1:46" s="89" customFormat="1" ht="15.65" hidden="1" customHeight="1" x14ac:dyDescent="0.35">
      <c r="A419" s="188" t="s">
        <v>101</v>
      </c>
      <c r="B419" s="188"/>
      <c r="C419" s="99" t="s">
        <v>102</v>
      </c>
      <c r="D419" s="168" t="s">
        <v>28</v>
      </c>
      <c r="E419" s="150" t="s">
        <v>986</v>
      </c>
      <c r="F419" s="75"/>
      <c r="G419" s="106">
        <v>45.95</v>
      </c>
      <c r="H419" s="106">
        <v>50.95</v>
      </c>
      <c r="I419" s="99"/>
      <c r="J419" s="99" t="s">
        <v>56</v>
      </c>
      <c r="K419" s="107">
        <v>45657</v>
      </c>
      <c r="L419" s="99" t="s">
        <v>103</v>
      </c>
      <c r="M419" s="99" t="s">
        <v>104</v>
      </c>
      <c r="N419" s="108"/>
      <c r="O419" s="71"/>
      <c r="P419" s="71"/>
      <c r="Q419" s="71"/>
      <c r="R419" s="71"/>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c r="AS419" s="71"/>
      <c r="AT419" s="71"/>
    </row>
    <row r="420" spans="1:46" s="89" customFormat="1" ht="15.65" hidden="1" customHeight="1" x14ac:dyDescent="0.35">
      <c r="A420" s="188" t="s">
        <v>105</v>
      </c>
      <c r="B420" s="188"/>
      <c r="C420" s="99" t="s">
        <v>106</v>
      </c>
      <c r="D420" s="168" t="s">
        <v>28</v>
      </c>
      <c r="E420" s="150" t="s">
        <v>986</v>
      </c>
      <c r="F420" s="75"/>
      <c r="G420" s="106">
        <v>101.95</v>
      </c>
      <c r="H420" s="106">
        <v>106.95</v>
      </c>
      <c r="I420" s="99"/>
      <c r="J420" s="99" t="s">
        <v>56</v>
      </c>
      <c r="K420" s="107">
        <v>45657</v>
      </c>
      <c r="L420" s="99" t="s">
        <v>103</v>
      </c>
      <c r="M420" s="99" t="s">
        <v>104</v>
      </c>
      <c r="N420" s="108"/>
      <c r="O420" s="71"/>
      <c r="P420" s="71"/>
      <c r="Q420" s="71"/>
      <c r="R420" s="71"/>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row>
    <row r="421" spans="1:46" ht="15.65" hidden="1" customHeight="1" x14ac:dyDescent="0.35">
      <c r="A421" s="188" t="s">
        <v>107</v>
      </c>
      <c r="B421" s="188"/>
      <c r="C421" s="99" t="s">
        <v>108</v>
      </c>
      <c r="D421" s="168" t="s">
        <v>28</v>
      </c>
      <c r="E421" s="150" t="s">
        <v>986</v>
      </c>
      <c r="F421" s="75"/>
      <c r="G421" s="106">
        <v>38.049999999999997</v>
      </c>
      <c r="H421" s="106">
        <v>43.05</v>
      </c>
      <c r="I421" s="99"/>
      <c r="J421" s="99" t="s">
        <v>56</v>
      </c>
      <c r="K421" s="107">
        <v>45657</v>
      </c>
      <c r="L421" s="99" t="s">
        <v>103</v>
      </c>
      <c r="M421" s="99" t="s">
        <v>104</v>
      </c>
      <c r="N421" s="108"/>
    </row>
    <row r="422" spans="1:46" ht="15.65" hidden="1" customHeight="1" x14ac:dyDescent="0.35">
      <c r="A422" s="188" t="s">
        <v>109</v>
      </c>
      <c r="B422" s="188"/>
      <c r="C422" s="99" t="s">
        <v>110</v>
      </c>
      <c r="D422" s="168" t="s">
        <v>28</v>
      </c>
      <c r="E422" s="150" t="s">
        <v>986</v>
      </c>
      <c r="F422" s="75"/>
      <c r="G422" s="106">
        <v>34.049999999999997</v>
      </c>
      <c r="H422" s="106">
        <v>39.049999999999997</v>
      </c>
      <c r="I422" s="99"/>
      <c r="J422" s="99" t="s">
        <v>56</v>
      </c>
      <c r="K422" s="107" t="s">
        <v>111</v>
      </c>
      <c r="L422" s="99" t="s">
        <v>112</v>
      </c>
      <c r="M422" s="99" t="s">
        <v>20</v>
      </c>
      <c r="N422" s="108"/>
    </row>
    <row r="423" spans="1:46" ht="15.65" hidden="1" customHeight="1" x14ac:dyDescent="0.35">
      <c r="A423" s="188" t="s">
        <v>113</v>
      </c>
      <c r="B423" s="188"/>
      <c r="C423" s="99" t="s">
        <v>114</v>
      </c>
      <c r="D423" s="168" t="s">
        <v>28</v>
      </c>
      <c r="E423" s="150" t="s">
        <v>986</v>
      </c>
      <c r="F423" s="75"/>
      <c r="G423" s="106">
        <v>163.5</v>
      </c>
      <c r="H423" s="106">
        <v>168.5</v>
      </c>
      <c r="I423" s="99"/>
      <c r="J423" s="99" t="s">
        <v>56</v>
      </c>
      <c r="K423" s="107">
        <v>45657</v>
      </c>
      <c r="L423" s="99" t="s">
        <v>115</v>
      </c>
      <c r="M423" s="99" t="s">
        <v>20</v>
      </c>
      <c r="N423" s="108"/>
    </row>
    <row r="424" spans="1:46" s="89" customFormat="1" ht="15.65" hidden="1" customHeight="1" x14ac:dyDescent="0.35">
      <c r="A424" s="188" t="s">
        <v>116</v>
      </c>
      <c r="B424" s="188"/>
      <c r="C424" s="99" t="s">
        <v>117</v>
      </c>
      <c r="D424" s="168" t="s">
        <v>28</v>
      </c>
      <c r="E424" s="150" t="s">
        <v>986</v>
      </c>
      <c r="F424" s="75"/>
      <c r="G424" s="106">
        <v>340</v>
      </c>
      <c r="H424" s="106">
        <v>345</v>
      </c>
      <c r="I424" s="99"/>
      <c r="J424" s="99" t="s">
        <v>56</v>
      </c>
      <c r="K424" s="107">
        <v>45657</v>
      </c>
      <c r="L424" s="99" t="s">
        <v>118</v>
      </c>
      <c r="M424" s="99" t="s">
        <v>20</v>
      </c>
      <c r="N424" s="108"/>
      <c r="O424" s="71"/>
      <c r="P424" s="71"/>
      <c r="Q424" s="71"/>
      <c r="R424" s="71"/>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c r="AS424" s="71"/>
      <c r="AT424" s="71"/>
    </row>
    <row r="425" spans="1:46" ht="15.65" hidden="1" customHeight="1" x14ac:dyDescent="0.35">
      <c r="A425" s="188" t="s">
        <v>119</v>
      </c>
      <c r="B425" s="188"/>
      <c r="C425" s="99" t="s">
        <v>120</v>
      </c>
      <c r="D425" s="168" t="s">
        <v>28</v>
      </c>
      <c r="E425" s="150" t="s">
        <v>986</v>
      </c>
      <c r="F425" s="75"/>
      <c r="G425" s="106">
        <v>30.05</v>
      </c>
      <c r="H425" s="106">
        <v>35.049999999999997</v>
      </c>
      <c r="I425" s="99"/>
      <c r="J425" s="99" t="s">
        <v>56</v>
      </c>
      <c r="K425" s="107">
        <v>45657</v>
      </c>
      <c r="L425" s="99"/>
      <c r="M425" s="99" t="s">
        <v>20</v>
      </c>
      <c r="N425" s="108"/>
    </row>
    <row r="426" spans="1:46" ht="15.65" hidden="1" customHeight="1" x14ac:dyDescent="0.35">
      <c r="A426" s="99" t="s">
        <v>121</v>
      </c>
      <c r="B426" s="99"/>
      <c r="C426" s="99" t="s">
        <v>122</v>
      </c>
      <c r="D426" s="168" t="s">
        <v>28</v>
      </c>
      <c r="E426" s="150" t="s">
        <v>986</v>
      </c>
      <c r="F426" s="75"/>
      <c r="G426" s="106" t="s">
        <v>123</v>
      </c>
      <c r="H426" s="106" t="s">
        <v>124</v>
      </c>
      <c r="I426" s="99"/>
      <c r="J426" s="99" t="s">
        <v>56</v>
      </c>
      <c r="K426" s="267">
        <v>45657</v>
      </c>
      <c r="L426" s="99" t="s">
        <v>125</v>
      </c>
      <c r="M426" s="99" t="s">
        <v>20</v>
      </c>
      <c r="N426" s="108" t="s">
        <v>126</v>
      </c>
    </row>
    <row r="427" spans="1:46" s="89" customFormat="1" ht="15.65" hidden="1" customHeight="1" x14ac:dyDescent="0.35">
      <c r="A427" s="99" t="s">
        <v>127</v>
      </c>
      <c r="B427" s="99"/>
      <c r="C427" s="99" t="s">
        <v>128</v>
      </c>
      <c r="D427" s="168" t="s">
        <v>28</v>
      </c>
      <c r="E427" s="150" t="s">
        <v>986</v>
      </c>
      <c r="F427" s="75"/>
      <c r="G427" s="106" t="s">
        <v>129</v>
      </c>
      <c r="H427" s="106" t="s">
        <v>130</v>
      </c>
      <c r="I427" s="99"/>
      <c r="J427" s="99" t="s">
        <v>56</v>
      </c>
      <c r="K427" s="267">
        <v>45657</v>
      </c>
      <c r="L427" s="99" t="s">
        <v>125</v>
      </c>
      <c r="M427" s="99" t="s">
        <v>20</v>
      </c>
      <c r="N427" s="108" t="s">
        <v>126</v>
      </c>
      <c r="O427" s="71"/>
      <c r="P427" s="71"/>
      <c r="Q427" s="71"/>
      <c r="R427" s="71"/>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c r="AS427" s="71"/>
      <c r="AT427" s="71"/>
    </row>
    <row r="428" spans="1:46" ht="15.65" hidden="1" customHeight="1" x14ac:dyDescent="0.35">
      <c r="A428" s="99" t="s">
        <v>131</v>
      </c>
      <c r="B428" s="99"/>
      <c r="C428" s="99" t="s">
        <v>122</v>
      </c>
      <c r="D428" s="168" t="s">
        <v>28</v>
      </c>
      <c r="E428" s="150" t="s">
        <v>986</v>
      </c>
      <c r="F428" s="75"/>
      <c r="G428" s="106" t="s">
        <v>132</v>
      </c>
      <c r="H428" s="106" t="s">
        <v>133</v>
      </c>
      <c r="I428" s="99"/>
      <c r="J428" s="99" t="s">
        <v>56</v>
      </c>
      <c r="K428" s="267">
        <v>45657</v>
      </c>
      <c r="L428" s="99" t="s">
        <v>125</v>
      </c>
      <c r="M428" s="99" t="s">
        <v>20</v>
      </c>
      <c r="N428" s="108" t="s">
        <v>126</v>
      </c>
    </row>
    <row r="429" spans="1:46" ht="15.65" hidden="1" customHeight="1" x14ac:dyDescent="0.35">
      <c r="A429" s="99" t="s">
        <v>134</v>
      </c>
      <c r="B429" s="99"/>
      <c r="C429" s="99" t="s">
        <v>135</v>
      </c>
      <c r="D429" s="168" t="s">
        <v>28</v>
      </c>
      <c r="E429" s="150" t="s">
        <v>986</v>
      </c>
      <c r="F429" s="75"/>
      <c r="G429" s="106" t="s">
        <v>136</v>
      </c>
      <c r="H429" s="106" t="s">
        <v>137</v>
      </c>
      <c r="I429" s="99"/>
      <c r="J429" s="99" t="s">
        <v>56</v>
      </c>
      <c r="K429" s="267">
        <v>45657</v>
      </c>
      <c r="L429" s="99" t="s">
        <v>125</v>
      </c>
      <c r="M429" s="99" t="s">
        <v>20</v>
      </c>
      <c r="N429" s="108" t="s">
        <v>126</v>
      </c>
    </row>
    <row r="430" spans="1:46" ht="15.65" hidden="1" customHeight="1" x14ac:dyDescent="0.35">
      <c r="A430" s="99" t="s">
        <v>138</v>
      </c>
      <c r="B430" s="99"/>
      <c r="C430" s="99" t="s">
        <v>139</v>
      </c>
      <c r="D430" s="168" t="s">
        <v>28</v>
      </c>
      <c r="E430" s="150" t="s">
        <v>986</v>
      </c>
      <c r="F430" s="75"/>
      <c r="G430" s="106" t="s">
        <v>140</v>
      </c>
      <c r="H430" s="106" t="s">
        <v>141</v>
      </c>
      <c r="I430" s="99"/>
      <c r="J430" s="99" t="s">
        <v>56</v>
      </c>
      <c r="K430" s="267">
        <v>45657</v>
      </c>
      <c r="L430" s="99" t="s">
        <v>125</v>
      </c>
      <c r="M430" s="99" t="s">
        <v>20</v>
      </c>
      <c r="N430" s="108" t="s">
        <v>126</v>
      </c>
    </row>
    <row r="431" spans="1:46" ht="15.65" hidden="1" customHeight="1" x14ac:dyDescent="0.35">
      <c r="A431" s="99" t="s">
        <v>142</v>
      </c>
      <c r="B431" s="99"/>
      <c r="C431" s="99" t="s">
        <v>143</v>
      </c>
      <c r="D431" s="168" t="s">
        <v>28</v>
      </c>
      <c r="E431" s="150" t="s">
        <v>986</v>
      </c>
      <c r="F431" s="75"/>
      <c r="G431" s="106" t="s">
        <v>144</v>
      </c>
      <c r="H431" s="106">
        <v>30.9</v>
      </c>
      <c r="I431" s="99"/>
      <c r="J431" s="99" t="s">
        <v>56</v>
      </c>
      <c r="K431" s="267">
        <v>45657</v>
      </c>
      <c r="L431" s="99" t="s">
        <v>125</v>
      </c>
      <c r="M431" s="99" t="s">
        <v>20</v>
      </c>
      <c r="N431" s="99" t="s">
        <v>145</v>
      </c>
    </row>
    <row r="432" spans="1:46" ht="15.65" hidden="1" customHeight="1" x14ac:dyDescent="0.35">
      <c r="A432" s="99" t="s">
        <v>146</v>
      </c>
      <c r="B432" s="99"/>
      <c r="C432" s="99" t="s">
        <v>147</v>
      </c>
      <c r="D432" s="168" t="s">
        <v>28</v>
      </c>
      <c r="E432" s="150" t="s">
        <v>986</v>
      </c>
      <c r="F432" s="75"/>
      <c r="G432" s="106" t="s">
        <v>148</v>
      </c>
      <c r="H432" s="106" t="s">
        <v>149</v>
      </c>
      <c r="I432" s="99"/>
      <c r="J432" s="99" t="s">
        <v>56</v>
      </c>
      <c r="K432" s="267">
        <v>45657</v>
      </c>
      <c r="L432" s="99" t="s">
        <v>125</v>
      </c>
      <c r="M432" s="99" t="s">
        <v>20</v>
      </c>
      <c r="N432" s="108" t="s">
        <v>126</v>
      </c>
    </row>
    <row r="433" spans="1:46" ht="15.65" hidden="1" customHeight="1" x14ac:dyDescent="0.35">
      <c r="A433" s="340" t="s">
        <v>150</v>
      </c>
      <c r="B433" s="340"/>
      <c r="C433" s="99" t="s">
        <v>143</v>
      </c>
      <c r="D433" s="168" t="s">
        <v>28</v>
      </c>
      <c r="E433" s="150" t="s">
        <v>986</v>
      </c>
      <c r="F433" s="75"/>
      <c r="G433" s="106" t="s">
        <v>151</v>
      </c>
      <c r="H433" s="106" t="s">
        <v>152</v>
      </c>
      <c r="I433" s="99"/>
      <c r="J433" s="99" t="s">
        <v>56</v>
      </c>
      <c r="K433" s="267">
        <v>45657</v>
      </c>
      <c r="L433" s="99" t="s">
        <v>125</v>
      </c>
      <c r="M433" s="99" t="s">
        <v>20</v>
      </c>
      <c r="N433" s="108" t="s">
        <v>126</v>
      </c>
    </row>
    <row r="434" spans="1:46" s="89" customFormat="1" ht="15.65" hidden="1" customHeight="1" x14ac:dyDescent="0.35">
      <c r="A434" s="99" t="s">
        <v>153</v>
      </c>
      <c r="B434" s="99"/>
      <c r="C434" s="99" t="s">
        <v>154</v>
      </c>
      <c r="D434" s="168" t="s">
        <v>28</v>
      </c>
      <c r="E434" s="150" t="s">
        <v>986</v>
      </c>
      <c r="F434" s="75"/>
      <c r="G434" s="106" t="s">
        <v>155</v>
      </c>
      <c r="H434" s="106" t="s">
        <v>156</v>
      </c>
      <c r="I434" s="99"/>
      <c r="J434" s="99" t="s">
        <v>56</v>
      </c>
      <c r="K434" s="267">
        <v>45657</v>
      </c>
      <c r="L434" s="99" t="s">
        <v>125</v>
      </c>
      <c r="M434" s="99" t="s">
        <v>20</v>
      </c>
      <c r="N434" s="108" t="s">
        <v>126</v>
      </c>
      <c r="O434" s="71"/>
      <c r="P434" s="71"/>
      <c r="Q434" s="71"/>
      <c r="R434" s="71"/>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c r="AS434" s="71"/>
      <c r="AT434" s="71"/>
    </row>
    <row r="435" spans="1:46" s="89" customFormat="1" ht="15.65" hidden="1" customHeight="1" x14ac:dyDescent="0.35">
      <c r="A435" s="99" t="s">
        <v>157</v>
      </c>
      <c r="B435" s="99"/>
      <c r="C435" s="99" t="s">
        <v>158</v>
      </c>
      <c r="D435" s="168" t="s">
        <v>28</v>
      </c>
      <c r="E435" s="150" t="s">
        <v>986</v>
      </c>
      <c r="F435" s="75"/>
      <c r="G435" s="106" t="s">
        <v>159</v>
      </c>
      <c r="H435" s="106" t="s">
        <v>160</v>
      </c>
      <c r="I435" s="99"/>
      <c r="J435" s="99" t="s">
        <v>56</v>
      </c>
      <c r="K435" s="267">
        <v>45657</v>
      </c>
      <c r="L435" s="99" t="s">
        <v>125</v>
      </c>
      <c r="M435" s="99" t="s">
        <v>20</v>
      </c>
      <c r="N435" s="108" t="s">
        <v>126</v>
      </c>
      <c r="O435" s="71"/>
      <c r="P435" s="71"/>
      <c r="Q435" s="71"/>
      <c r="R435" s="71"/>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c r="AS435" s="71"/>
      <c r="AT435" s="71"/>
    </row>
    <row r="436" spans="1:46" s="89" customFormat="1" ht="15.65" hidden="1" customHeight="1" x14ac:dyDescent="0.35">
      <c r="A436" s="340" t="s">
        <v>161</v>
      </c>
      <c r="B436" s="340"/>
      <c r="C436" s="99" t="s">
        <v>162</v>
      </c>
      <c r="D436" s="168" t="s">
        <v>28</v>
      </c>
      <c r="E436" s="150" t="s">
        <v>986</v>
      </c>
      <c r="F436" s="75"/>
      <c r="G436" s="106" t="s">
        <v>163</v>
      </c>
      <c r="H436" s="106" t="s">
        <v>164</v>
      </c>
      <c r="I436" s="99"/>
      <c r="J436" s="99" t="s">
        <v>56</v>
      </c>
      <c r="K436" s="267">
        <v>45657</v>
      </c>
      <c r="L436" s="99" t="s">
        <v>125</v>
      </c>
      <c r="M436" s="99" t="s">
        <v>20</v>
      </c>
      <c r="N436" s="108" t="s">
        <v>126</v>
      </c>
      <c r="O436" s="71"/>
      <c r="P436" s="71"/>
      <c r="Q436" s="71"/>
      <c r="R436" s="71"/>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row>
    <row r="437" spans="1:46" ht="15.65" hidden="1" customHeight="1" x14ac:dyDescent="0.35">
      <c r="A437" s="340" t="s">
        <v>165</v>
      </c>
      <c r="B437" s="340"/>
      <c r="C437" s="99" t="s">
        <v>162</v>
      </c>
      <c r="D437" s="168" t="s">
        <v>28</v>
      </c>
      <c r="E437" s="150" t="s">
        <v>986</v>
      </c>
      <c r="F437" s="75"/>
      <c r="G437" s="106" t="s">
        <v>166</v>
      </c>
      <c r="H437" s="106" t="s">
        <v>167</v>
      </c>
      <c r="I437" s="99"/>
      <c r="J437" s="99" t="s">
        <v>56</v>
      </c>
      <c r="K437" s="267">
        <v>45657</v>
      </c>
      <c r="L437" s="99" t="s">
        <v>125</v>
      </c>
      <c r="M437" s="99" t="s">
        <v>20</v>
      </c>
      <c r="N437" s="108" t="s">
        <v>126</v>
      </c>
    </row>
    <row r="438" spans="1:46" ht="15.65" hidden="1" customHeight="1" x14ac:dyDescent="0.35">
      <c r="A438" s="99" t="s">
        <v>168</v>
      </c>
      <c r="B438" s="99"/>
      <c r="C438" s="99" t="s">
        <v>169</v>
      </c>
      <c r="D438" s="168" t="s">
        <v>28</v>
      </c>
      <c r="E438" s="150" t="s">
        <v>986</v>
      </c>
      <c r="F438" s="75"/>
      <c r="G438" s="106" t="s">
        <v>170</v>
      </c>
      <c r="H438" s="106" t="s">
        <v>171</v>
      </c>
      <c r="I438" s="99"/>
      <c r="J438" s="99" t="s">
        <v>56</v>
      </c>
      <c r="K438" s="267">
        <v>45657</v>
      </c>
      <c r="L438" s="99" t="s">
        <v>125</v>
      </c>
      <c r="M438" s="99" t="s">
        <v>20</v>
      </c>
      <c r="N438" s="108" t="s">
        <v>126</v>
      </c>
    </row>
    <row r="439" spans="1:46" ht="15.65" hidden="1" customHeight="1" x14ac:dyDescent="0.35">
      <c r="A439" s="340" t="s">
        <v>172</v>
      </c>
      <c r="B439" s="340"/>
      <c r="C439" s="99" t="s">
        <v>173</v>
      </c>
      <c r="D439" s="168" t="s">
        <v>28</v>
      </c>
      <c r="E439" s="150" t="s">
        <v>986</v>
      </c>
      <c r="F439" s="75"/>
      <c r="G439" s="106" t="s">
        <v>174</v>
      </c>
      <c r="H439" s="106" t="s">
        <v>175</v>
      </c>
      <c r="I439" s="99"/>
      <c r="J439" s="99" t="s">
        <v>56</v>
      </c>
      <c r="K439" s="267">
        <v>45657</v>
      </c>
      <c r="L439" s="99" t="s">
        <v>125</v>
      </c>
      <c r="M439" s="99" t="s">
        <v>20</v>
      </c>
      <c r="N439" s="108" t="s">
        <v>126</v>
      </c>
    </row>
    <row r="440" spans="1:46" ht="29.5" hidden="1" customHeight="1" x14ac:dyDescent="0.35">
      <c r="A440" s="99" t="s">
        <v>176</v>
      </c>
      <c r="B440" s="99"/>
      <c r="C440" s="99" t="s">
        <v>177</v>
      </c>
      <c r="D440" s="168" t="s">
        <v>28</v>
      </c>
      <c r="E440" s="150" t="s">
        <v>986</v>
      </c>
      <c r="F440" s="75"/>
      <c r="G440" s="106" t="s">
        <v>178</v>
      </c>
      <c r="H440" s="106" t="s">
        <v>179</v>
      </c>
      <c r="I440" s="99"/>
      <c r="J440" s="99" t="s">
        <v>56</v>
      </c>
      <c r="K440" s="267">
        <v>45657</v>
      </c>
      <c r="L440" s="99" t="s">
        <v>125</v>
      </c>
      <c r="M440" s="99" t="s">
        <v>20</v>
      </c>
      <c r="N440" s="108" t="s">
        <v>126</v>
      </c>
    </row>
    <row r="441" spans="1:46" ht="15.65" hidden="1" customHeight="1" x14ac:dyDescent="0.35">
      <c r="A441" s="340" t="s">
        <v>180</v>
      </c>
      <c r="B441" s="340"/>
      <c r="C441" s="99" t="s">
        <v>181</v>
      </c>
      <c r="D441" s="168" t="s">
        <v>28</v>
      </c>
      <c r="E441" s="150" t="s">
        <v>986</v>
      </c>
      <c r="F441" s="75"/>
      <c r="G441" s="106" t="s">
        <v>182</v>
      </c>
      <c r="H441" s="106" t="s">
        <v>183</v>
      </c>
      <c r="I441" s="99"/>
      <c r="J441" s="99" t="s">
        <v>56</v>
      </c>
      <c r="K441" s="267">
        <v>45657</v>
      </c>
      <c r="L441" s="99" t="s">
        <v>125</v>
      </c>
      <c r="M441" s="99" t="s">
        <v>20</v>
      </c>
      <c r="N441" s="108" t="s">
        <v>126</v>
      </c>
    </row>
    <row r="442" spans="1:46" ht="15.65" hidden="1" customHeight="1" x14ac:dyDescent="0.35">
      <c r="A442" s="340" t="s">
        <v>184</v>
      </c>
      <c r="B442" s="340"/>
      <c r="C442" s="99" t="s">
        <v>185</v>
      </c>
      <c r="D442" s="168" t="s">
        <v>28</v>
      </c>
      <c r="E442" s="150" t="s">
        <v>986</v>
      </c>
      <c r="F442" s="75"/>
      <c r="G442" s="106" t="s">
        <v>186</v>
      </c>
      <c r="H442" s="106" t="s">
        <v>187</v>
      </c>
      <c r="I442" s="99"/>
      <c r="J442" s="99" t="s">
        <v>56</v>
      </c>
      <c r="K442" s="267">
        <v>45657</v>
      </c>
      <c r="L442" s="99" t="s">
        <v>125</v>
      </c>
      <c r="M442" s="99" t="s">
        <v>20</v>
      </c>
      <c r="N442" s="108" t="s">
        <v>126</v>
      </c>
    </row>
    <row r="443" spans="1:46" s="89" customFormat="1" ht="15.65" hidden="1" customHeight="1" x14ac:dyDescent="0.35">
      <c r="A443" s="340" t="s">
        <v>188</v>
      </c>
      <c r="B443" s="340"/>
      <c r="C443" s="99" t="s">
        <v>189</v>
      </c>
      <c r="D443" s="168" t="s">
        <v>28</v>
      </c>
      <c r="E443" s="150" t="s">
        <v>986</v>
      </c>
      <c r="F443" s="75"/>
      <c r="G443" s="106" t="s">
        <v>190</v>
      </c>
      <c r="H443" s="106" t="s">
        <v>191</v>
      </c>
      <c r="I443" s="99"/>
      <c r="J443" s="99" t="s">
        <v>56</v>
      </c>
      <c r="K443" s="267">
        <v>45657</v>
      </c>
      <c r="L443" s="99" t="s">
        <v>125</v>
      </c>
      <c r="M443" s="99" t="s">
        <v>20</v>
      </c>
      <c r="N443" s="108" t="s">
        <v>126</v>
      </c>
      <c r="O443" s="71"/>
      <c r="P443" s="71"/>
      <c r="Q443" s="71"/>
      <c r="R443" s="71"/>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c r="AS443" s="71"/>
      <c r="AT443" s="71"/>
    </row>
    <row r="444" spans="1:46" ht="15.65" hidden="1" customHeight="1" x14ac:dyDescent="0.35">
      <c r="A444" s="340" t="s">
        <v>192</v>
      </c>
      <c r="B444" s="340"/>
      <c r="C444" s="99" t="s">
        <v>193</v>
      </c>
      <c r="D444" s="168" t="s">
        <v>28</v>
      </c>
      <c r="E444" s="150" t="s">
        <v>986</v>
      </c>
      <c r="F444" s="75"/>
      <c r="G444" s="106" t="s">
        <v>194</v>
      </c>
      <c r="H444" s="106" t="s">
        <v>195</v>
      </c>
      <c r="I444" s="99"/>
      <c r="J444" s="99" t="s">
        <v>56</v>
      </c>
      <c r="K444" s="267">
        <v>45657</v>
      </c>
      <c r="L444" s="99" t="s">
        <v>125</v>
      </c>
      <c r="M444" s="99" t="s">
        <v>20</v>
      </c>
      <c r="N444" s="108" t="s">
        <v>126</v>
      </c>
    </row>
    <row r="445" spans="1:46" s="89" customFormat="1" ht="15.65" hidden="1" customHeight="1" x14ac:dyDescent="0.35">
      <c r="A445" s="99" t="s">
        <v>196</v>
      </c>
      <c r="B445" s="99"/>
      <c r="C445" s="99" t="s">
        <v>197</v>
      </c>
      <c r="D445" s="168" t="s">
        <v>28</v>
      </c>
      <c r="E445" s="150" t="s">
        <v>986</v>
      </c>
      <c r="F445" s="75"/>
      <c r="G445" s="106" t="s">
        <v>198</v>
      </c>
      <c r="H445" s="106" t="s">
        <v>199</v>
      </c>
      <c r="I445" s="99"/>
      <c r="J445" s="99" t="s">
        <v>56</v>
      </c>
      <c r="K445" s="267">
        <v>45657</v>
      </c>
      <c r="L445" s="99" t="s">
        <v>125</v>
      </c>
      <c r="M445" s="99" t="s">
        <v>20</v>
      </c>
      <c r="N445" s="108" t="s">
        <v>126</v>
      </c>
      <c r="O445" s="71"/>
      <c r="P445" s="71"/>
      <c r="Q445" s="71"/>
      <c r="R445" s="71"/>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row>
    <row r="446" spans="1:46" s="89" customFormat="1" ht="15.65" hidden="1" customHeight="1" x14ac:dyDescent="0.35">
      <c r="A446" s="99" t="s">
        <v>200</v>
      </c>
      <c r="B446" s="99"/>
      <c r="C446" s="99" t="s">
        <v>201</v>
      </c>
      <c r="D446" s="168" t="s">
        <v>28</v>
      </c>
      <c r="E446" s="150" t="s">
        <v>986</v>
      </c>
      <c r="F446" s="75"/>
      <c r="G446" s="106" t="s">
        <v>202</v>
      </c>
      <c r="H446" s="106" t="s">
        <v>203</v>
      </c>
      <c r="I446" s="99"/>
      <c r="J446" s="99" t="s">
        <v>56</v>
      </c>
      <c r="K446" s="267">
        <v>45657</v>
      </c>
      <c r="L446" s="99" t="s">
        <v>125</v>
      </c>
      <c r="M446" s="99" t="s">
        <v>20</v>
      </c>
      <c r="N446" s="108" t="s">
        <v>126</v>
      </c>
      <c r="O446" s="71"/>
      <c r="P446" s="71"/>
      <c r="Q446" s="71"/>
      <c r="R446" s="71"/>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row>
    <row r="447" spans="1:46" ht="15.65" hidden="1" customHeight="1" x14ac:dyDescent="0.35">
      <c r="A447" s="99">
        <v>13.01</v>
      </c>
      <c r="B447" s="99"/>
      <c r="C447" s="99" t="s">
        <v>204</v>
      </c>
      <c r="D447" s="168" t="s">
        <v>28</v>
      </c>
      <c r="E447" s="150" t="s">
        <v>986</v>
      </c>
      <c r="F447" s="75"/>
      <c r="G447" s="106" t="s">
        <v>205</v>
      </c>
      <c r="H447" s="106" t="s">
        <v>206</v>
      </c>
      <c r="I447" s="99"/>
      <c r="J447" s="99" t="s">
        <v>56</v>
      </c>
      <c r="K447" s="267">
        <v>45657</v>
      </c>
      <c r="L447" s="99" t="s">
        <v>125</v>
      </c>
      <c r="M447" s="99" t="s">
        <v>20</v>
      </c>
      <c r="N447" s="108" t="s">
        <v>126</v>
      </c>
    </row>
    <row r="448" spans="1:46" s="210" customFormat="1" ht="15.65" hidden="1" customHeight="1" x14ac:dyDescent="0.35">
      <c r="A448" s="99">
        <v>13.05</v>
      </c>
      <c r="B448" s="99"/>
      <c r="C448" s="99" t="s">
        <v>207</v>
      </c>
      <c r="D448" s="168" t="s">
        <v>28</v>
      </c>
      <c r="E448" s="150" t="s">
        <v>986</v>
      </c>
      <c r="F448" s="75"/>
      <c r="G448" s="106" t="s">
        <v>208</v>
      </c>
      <c r="H448" s="106" t="s">
        <v>209</v>
      </c>
      <c r="I448" s="99"/>
      <c r="J448" s="99" t="s">
        <v>56</v>
      </c>
      <c r="K448" s="267">
        <v>45657</v>
      </c>
      <c r="L448" s="99" t="s">
        <v>125</v>
      </c>
      <c r="M448" s="99" t="s">
        <v>20</v>
      </c>
      <c r="N448" s="108" t="s">
        <v>126</v>
      </c>
    </row>
    <row r="449" spans="1:46" s="211" customFormat="1" ht="15.65" hidden="1" customHeight="1" x14ac:dyDescent="0.35">
      <c r="A449" s="99">
        <v>14.01</v>
      </c>
      <c r="B449" s="99"/>
      <c r="C449" s="99" t="s">
        <v>210</v>
      </c>
      <c r="D449" s="168" t="s">
        <v>28</v>
      </c>
      <c r="E449" s="150" t="s">
        <v>986</v>
      </c>
      <c r="F449" s="75"/>
      <c r="G449" s="106" t="s">
        <v>211</v>
      </c>
      <c r="H449" s="106" t="s">
        <v>212</v>
      </c>
      <c r="I449" s="99"/>
      <c r="J449" s="99" t="s">
        <v>56</v>
      </c>
      <c r="K449" s="267">
        <v>45657</v>
      </c>
      <c r="L449" s="99" t="s">
        <v>125</v>
      </c>
      <c r="M449" s="99" t="s">
        <v>20</v>
      </c>
      <c r="N449" s="108" t="s">
        <v>126</v>
      </c>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row>
    <row r="450" spans="1:46" s="211" customFormat="1" ht="15.65" hidden="1" customHeight="1" x14ac:dyDescent="0.35">
      <c r="A450" s="99">
        <v>14.03</v>
      </c>
      <c r="B450" s="99"/>
      <c r="C450" s="99" t="s">
        <v>213</v>
      </c>
      <c r="D450" s="168" t="s">
        <v>28</v>
      </c>
      <c r="E450" s="150" t="s">
        <v>986</v>
      </c>
      <c r="F450" s="75"/>
      <c r="G450" s="106" t="s">
        <v>214</v>
      </c>
      <c r="H450" s="106" t="s">
        <v>215</v>
      </c>
      <c r="I450" s="99"/>
      <c r="J450" s="99" t="s">
        <v>56</v>
      </c>
      <c r="K450" s="267">
        <v>45657</v>
      </c>
      <c r="L450" s="99" t="s">
        <v>125</v>
      </c>
      <c r="M450" s="99" t="s">
        <v>20</v>
      </c>
      <c r="N450" s="108" t="s">
        <v>126</v>
      </c>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row>
    <row r="451" spans="1:46" s="72" customFormat="1" ht="15.65" hidden="1" customHeight="1" x14ac:dyDescent="0.35">
      <c r="A451" s="99">
        <v>15.01</v>
      </c>
      <c r="B451" s="99"/>
      <c r="C451" s="99" t="s">
        <v>216</v>
      </c>
      <c r="D451" s="168" t="s">
        <v>28</v>
      </c>
      <c r="E451" s="150" t="s">
        <v>986</v>
      </c>
      <c r="F451" s="75"/>
      <c r="G451" s="106" t="s">
        <v>217</v>
      </c>
      <c r="H451" s="106" t="s">
        <v>218</v>
      </c>
      <c r="I451" s="99"/>
      <c r="J451" s="99" t="s">
        <v>56</v>
      </c>
      <c r="K451" s="267">
        <v>45657</v>
      </c>
      <c r="L451" s="99" t="s">
        <v>125</v>
      </c>
      <c r="M451" s="99" t="s">
        <v>20</v>
      </c>
      <c r="N451" s="108" t="s">
        <v>126</v>
      </c>
    </row>
    <row r="452" spans="1:46" s="89" customFormat="1" ht="15.65" hidden="1" customHeight="1" x14ac:dyDescent="0.35">
      <c r="A452" s="99">
        <v>19.010000000000002</v>
      </c>
      <c r="B452" s="99"/>
      <c r="C452" s="99" t="s">
        <v>219</v>
      </c>
      <c r="D452" s="168" t="s">
        <v>28</v>
      </c>
      <c r="E452" s="150" t="s">
        <v>986</v>
      </c>
      <c r="F452" s="75"/>
      <c r="G452" s="106" t="s">
        <v>220</v>
      </c>
      <c r="H452" s="106" t="s">
        <v>221</v>
      </c>
      <c r="I452" s="99"/>
      <c r="J452" s="99" t="s">
        <v>56</v>
      </c>
      <c r="K452" s="267">
        <v>45657</v>
      </c>
      <c r="L452" s="99" t="s">
        <v>125</v>
      </c>
      <c r="M452" s="99" t="s">
        <v>20</v>
      </c>
      <c r="N452" s="108" t="s">
        <v>126</v>
      </c>
      <c r="O452" s="71"/>
      <c r="P452" s="71"/>
      <c r="Q452" s="71"/>
      <c r="R452" s="71"/>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row>
    <row r="453" spans="1:46" s="89" customFormat="1" ht="15.65" hidden="1" customHeight="1" x14ac:dyDescent="0.35">
      <c r="A453" s="99" t="s">
        <v>222</v>
      </c>
      <c r="B453" s="99"/>
      <c r="C453" s="99" t="s">
        <v>223</v>
      </c>
      <c r="D453" s="168" t="s">
        <v>28</v>
      </c>
      <c r="E453" s="150" t="s">
        <v>986</v>
      </c>
      <c r="F453" s="75"/>
      <c r="G453" s="106" t="s">
        <v>224</v>
      </c>
      <c r="H453" s="106" t="s">
        <v>225</v>
      </c>
      <c r="I453" s="99"/>
      <c r="J453" s="99" t="s">
        <v>56</v>
      </c>
      <c r="K453" s="267">
        <v>45657</v>
      </c>
      <c r="L453" s="99" t="s">
        <v>125</v>
      </c>
      <c r="M453" s="99" t="s">
        <v>20</v>
      </c>
      <c r="N453" s="108" t="s">
        <v>126</v>
      </c>
      <c r="O453" s="71"/>
      <c r="P453" s="71"/>
      <c r="Q453" s="71"/>
      <c r="R453" s="71"/>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c r="AS453" s="71"/>
      <c r="AT453" s="71"/>
    </row>
    <row r="454" spans="1:46" ht="15.65" hidden="1" customHeight="1" x14ac:dyDescent="0.35">
      <c r="A454" s="99">
        <v>22.007558</v>
      </c>
      <c r="B454" s="99"/>
      <c r="C454" s="99" t="s">
        <v>226</v>
      </c>
      <c r="D454" s="168" t="s">
        <v>28</v>
      </c>
      <c r="E454" s="150" t="s">
        <v>986</v>
      </c>
      <c r="F454" s="75"/>
      <c r="G454" s="106" t="s">
        <v>227</v>
      </c>
      <c r="H454" s="106" t="s">
        <v>228</v>
      </c>
      <c r="I454" s="99"/>
      <c r="J454" s="99" t="s">
        <v>56</v>
      </c>
      <c r="K454" s="267">
        <v>45657</v>
      </c>
      <c r="L454" s="99" t="s">
        <v>125</v>
      </c>
      <c r="M454" s="99" t="s">
        <v>20</v>
      </c>
      <c r="N454" s="108" t="s">
        <v>126</v>
      </c>
    </row>
    <row r="455" spans="1:46" s="89" customFormat="1" ht="15.65" hidden="1" customHeight="1" x14ac:dyDescent="0.35">
      <c r="A455" s="99" t="s">
        <v>229</v>
      </c>
      <c r="B455" s="99"/>
      <c r="C455" s="99" t="s">
        <v>230</v>
      </c>
      <c r="D455" s="168" t="s">
        <v>28</v>
      </c>
      <c r="E455" s="150" t="s">
        <v>986</v>
      </c>
      <c r="F455" s="75"/>
      <c r="G455" s="106" t="s">
        <v>231</v>
      </c>
      <c r="H455" s="106" t="s">
        <v>232</v>
      </c>
      <c r="I455" s="99"/>
      <c r="J455" s="99" t="s">
        <v>56</v>
      </c>
      <c r="K455" s="267">
        <v>45657</v>
      </c>
      <c r="L455" s="99" t="s">
        <v>125</v>
      </c>
      <c r="M455" s="99" t="s">
        <v>20</v>
      </c>
      <c r="N455" s="108" t="s">
        <v>126</v>
      </c>
      <c r="O455" s="71"/>
      <c r="P455" s="71"/>
      <c r="Q455" s="71"/>
      <c r="R455" s="71"/>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c r="AS455" s="71"/>
      <c r="AT455" s="71"/>
    </row>
    <row r="456" spans="1:46" s="89" customFormat="1" ht="15.65" hidden="1" customHeight="1" x14ac:dyDescent="0.35">
      <c r="A456" s="99" t="s">
        <v>233</v>
      </c>
      <c r="B456" s="99"/>
      <c r="C456" s="99" t="s">
        <v>234</v>
      </c>
      <c r="D456" s="168" t="s">
        <v>28</v>
      </c>
      <c r="E456" s="150" t="s">
        <v>986</v>
      </c>
      <c r="F456" s="75"/>
      <c r="G456" s="106">
        <v>27.43</v>
      </c>
      <c r="H456" s="106">
        <v>32.43</v>
      </c>
      <c r="I456" s="99"/>
      <c r="J456" s="99" t="s">
        <v>56</v>
      </c>
      <c r="K456" s="267">
        <v>45657</v>
      </c>
      <c r="L456" s="99" t="s">
        <v>125</v>
      </c>
      <c r="M456" s="99" t="s">
        <v>20</v>
      </c>
      <c r="N456" s="108" t="s">
        <v>126</v>
      </c>
      <c r="O456" s="71"/>
      <c r="P456" s="71"/>
      <c r="Q456" s="71"/>
      <c r="R456" s="71"/>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c r="AS456" s="71"/>
      <c r="AT456" s="71"/>
    </row>
    <row r="457" spans="1:46" s="211" customFormat="1" ht="15.65" hidden="1" customHeight="1" x14ac:dyDescent="0.35">
      <c r="A457" s="99" t="s">
        <v>235</v>
      </c>
      <c r="B457" s="99"/>
      <c r="C457" s="99" t="s">
        <v>236</v>
      </c>
      <c r="D457" s="168" t="s">
        <v>28</v>
      </c>
      <c r="E457" s="150" t="s">
        <v>986</v>
      </c>
      <c r="F457" s="75"/>
      <c r="G457" s="106" t="s">
        <v>136</v>
      </c>
      <c r="H457" s="106" t="s">
        <v>137</v>
      </c>
      <c r="I457" s="99"/>
      <c r="J457" s="99" t="s">
        <v>56</v>
      </c>
      <c r="K457" s="267">
        <v>45657</v>
      </c>
      <c r="L457" s="99" t="s">
        <v>125</v>
      </c>
      <c r="M457" s="99" t="s">
        <v>20</v>
      </c>
      <c r="N457" s="108" t="s">
        <v>126</v>
      </c>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row>
    <row r="458" spans="1:46" s="72" customFormat="1" ht="15.65" hidden="1" customHeight="1" x14ac:dyDescent="0.35">
      <c r="A458" s="99">
        <v>22.037474</v>
      </c>
      <c r="B458" s="99"/>
      <c r="C458" s="99" t="s">
        <v>237</v>
      </c>
      <c r="D458" s="168" t="s">
        <v>28</v>
      </c>
      <c r="E458" s="150" t="s">
        <v>986</v>
      </c>
      <c r="F458" s="75"/>
      <c r="G458" s="106" t="s">
        <v>202</v>
      </c>
      <c r="H458" s="106" t="s">
        <v>203</v>
      </c>
      <c r="I458" s="99"/>
      <c r="J458" s="99" t="s">
        <v>56</v>
      </c>
      <c r="K458" s="267">
        <v>45657</v>
      </c>
      <c r="L458" s="99" t="s">
        <v>125</v>
      </c>
      <c r="M458" s="99" t="s">
        <v>20</v>
      </c>
      <c r="N458" s="108" t="s">
        <v>126</v>
      </c>
    </row>
    <row r="459" spans="1:46" s="72" customFormat="1" ht="15.65" hidden="1" customHeight="1" x14ac:dyDescent="0.35">
      <c r="A459" s="99">
        <v>22.087305000000001</v>
      </c>
      <c r="B459" s="99"/>
      <c r="C459" s="99" t="s">
        <v>238</v>
      </c>
      <c r="D459" s="168" t="s">
        <v>28</v>
      </c>
      <c r="E459" s="150" t="s">
        <v>986</v>
      </c>
      <c r="F459" s="75"/>
      <c r="G459" s="106" t="s">
        <v>239</v>
      </c>
      <c r="H459" s="106" t="s">
        <v>240</v>
      </c>
      <c r="I459" s="99"/>
      <c r="J459" s="99" t="s">
        <v>56</v>
      </c>
      <c r="K459" s="267">
        <v>45657</v>
      </c>
      <c r="L459" s="99" t="s">
        <v>125</v>
      </c>
      <c r="M459" s="99" t="s">
        <v>20</v>
      </c>
      <c r="N459" s="108" t="s">
        <v>126</v>
      </c>
    </row>
    <row r="460" spans="1:46" ht="15.65" hidden="1" customHeight="1" x14ac:dyDescent="0.35">
      <c r="A460" s="99" t="s">
        <v>241</v>
      </c>
      <c r="B460" s="99"/>
      <c r="C460" s="99" t="s">
        <v>242</v>
      </c>
      <c r="D460" s="168" t="s">
        <v>28</v>
      </c>
      <c r="E460" s="150" t="s">
        <v>986</v>
      </c>
      <c r="F460" s="75"/>
      <c r="G460" s="106" t="s">
        <v>243</v>
      </c>
      <c r="H460" s="106" t="s">
        <v>244</v>
      </c>
      <c r="I460" s="99"/>
      <c r="J460" s="99" t="s">
        <v>56</v>
      </c>
      <c r="K460" s="267">
        <v>45657</v>
      </c>
      <c r="L460" s="99" t="s">
        <v>125</v>
      </c>
      <c r="M460" s="99" t="s">
        <v>20</v>
      </c>
      <c r="N460" s="108" t="s">
        <v>126</v>
      </c>
    </row>
    <row r="461" spans="1:46" ht="15.65" hidden="1" customHeight="1" x14ac:dyDescent="0.35">
      <c r="A461" s="99" t="s">
        <v>245</v>
      </c>
      <c r="B461" s="99"/>
      <c r="C461" s="99" t="s">
        <v>246</v>
      </c>
      <c r="D461" s="168" t="s">
        <v>28</v>
      </c>
      <c r="E461" s="150" t="s">
        <v>986</v>
      </c>
      <c r="F461" s="75"/>
      <c r="G461" s="106" t="s">
        <v>247</v>
      </c>
      <c r="H461" s="106" t="s">
        <v>248</v>
      </c>
      <c r="I461" s="99"/>
      <c r="J461" s="99" t="s">
        <v>56</v>
      </c>
      <c r="K461" s="267">
        <v>45657</v>
      </c>
      <c r="L461" s="99" t="s">
        <v>125</v>
      </c>
      <c r="M461" s="99" t="s">
        <v>20</v>
      </c>
      <c r="N461" s="108" t="s">
        <v>126</v>
      </c>
    </row>
    <row r="462" spans="1:46" s="89" customFormat="1" ht="15.65" hidden="1" customHeight="1" x14ac:dyDescent="0.35">
      <c r="A462" s="99" t="s">
        <v>249</v>
      </c>
      <c r="B462" s="99"/>
      <c r="C462" s="99" t="s">
        <v>250</v>
      </c>
      <c r="D462" s="168" t="s">
        <v>28</v>
      </c>
      <c r="E462" s="150" t="s">
        <v>986</v>
      </c>
      <c r="F462" s="75"/>
      <c r="G462" s="106" t="s">
        <v>251</v>
      </c>
      <c r="H462" s="106" t="s">
        <v>252</v>
      </c>
      <c r="I462" s="99"/>
      <c r="J462" s="99" t="s">
        <v>56</v>
      </c>
      <c r="K462" s="267">
        <v>45657</v>
      </c>
      <c r="L462" s="99" t="s">
        <v>125</v>
      </c>
      <c r="M462" s="99" t="s">
        <v>20</v>
      </c>
      <c r="N462" s="108" t="s">
        <v>126</v>
      </c>
      <c r="O462" s="71"/>
      <c r="P462" s="71"/>
      <c r="Q462" s="71"/>
      <c r="R462" s="71"/>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row>
    <row r="463" spans="1:46" s="89" customFormat="1" ht="15.65" hidden="1" customHeight="1" x14ac:dyDescent="0.35">
      <c r="A463" s="99" t="s">
        <v>253</v>
      </c>
      <c r="B463" s="99"/>
      <c r="C463" s="99" t="s">
        <v>254</v>
      </c>
      <c r="D463" s="168" t="s">
        <v>28</v>
      </c>
      <c r="E463" s="150" t="s">
        <v>986</v>
      </c>
      <c r="F463" s="75"/>
      <c r="G463" s="106" t="s">
        <v>255</v>
      </c>
      <c r="H463" s="106" t="s">
        <v>256</v>
      </c>
      <c r="I463" s="99"/>
      <c r="J463" s="99" t="s">
        <v>56</v>
      </c>
      <c r="K463" s="267">
        <v>45657</v>
      </c>
      <c r="L463" s="99" t="s">
        <v>125</v>
      </c>
      <c r="M463" s="99" t="s">
        <v>20</v>
      </c>
      <c r="N463" s="108" t="s">
        <v>126</v>
      </c>
      <c r="O463" s="71"/>
      <c r="P463" s="71"/>
      <c r="Q463" s="71"/>
      <c r="R463" s="71"/>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c r="AS463" s="71"/>
      <c r="AT463" s="71"/>
    </row>
    <row r="464" spans="1:46" ht="15.65" hidden="1" customHeight="1" x14ac:dyDescent="0.35">
      <c r="A464" s="99">
        <v>22.507209</v>
      </c>
      <c r="B464" s="99"/>
      <c r="C464" s="99" t="s">
        <v>257</v>
      </c>
      <c r="D464" s="168" t="s">
        <v>28</v>
      </c>
      <c r="E464" s="150" t="s">
        <v>986</v>
      </c>
      <c r="F464" s="75"/>
      <c r="G464" s="106" t="s">
        <v>258</v>
      </c>
      <c r="H464" s="106" t="s">
        <v>259</v>
      </c>
      <c r="I464" s="99"/>
      <c r="J464" s="99" t="s">
        <v>56</v>
      </c>
      <c r="K464" s="267">
        <v>45657</v>
      </c>
      <c r="L464" s="99" t="s">
        <v>125</v>
      </c>
      <c r="M464" s="99" t="s">
        <v>20</v>
      </c>
      <c r="N464" s="108" t="s">
        <v>126</v>
      </c>
    </row>
    <row r="465" spans="1:46" ht="15.65" hidden="1" customHeight="1" x14ac:dyDescent="0.35">
      <c r="A465" s="99" t="s">
        <v>260</v>
      </c>
      <c r="B465" s="99"/>
      <c r="C465" s="99" t="s">
        <v>261</v>
      </c>
      <c r="D465" s="168" t="s">
        <v>28</v>
      </c>
      <c r="E465" s="150" t="s">
        <v>986</v>
      </c>
      <c r="F465" s="75"/>
      <c r="G465" s="106" t="s">
        <v>262</v>
      </c>
      <c r="H465" s="106" t="s">
        <v>263</v>
      </c>
      <c r="I465" s="99"/>
      <c r="J465" s="99" t="s">
        <v>56</v>
      </c>
      <c r="K465" s="267">
        <v>45657</v>
      </c>
      <c r="L465" s="99" t="s">
        <v>125</v>
      </c>
      <c r="M465" s="99" t="s">
        <v>20</v>
      </c>
      <c r="N465" s="108" t="s">
        <v>126</v>
      </c>
    </row>
    <row r="466" spans="1:46" ht="15.65" hidden="1" customHeight="1" x14ac:dyDescent="0.35">
      <c r="A466" s="99" t="s">
        <v>264</v>
      </c>
      <c r="B466" s="99"/>
      <c r="C466" s="99" t="s">
        <v>265</v>
      </c>
      <c r="D466" s="168" t="s">
        <v>28</v>
      </c>
      <c r="E466" s="150" t="s">
        <v>986</v>
      </c>
      <c r="F466" s="75"/>
      <c r="G466" s="106" t="s">
        <v>266</v>
      </c>
      <c r="H466" s="106" t="s">
        <v>267</v>
      </c>
      <c r="I466" s="99"/>
      <c r="J466" s="99" t="s">
        <v>56</v>
      </c>
      <c r="K466" s="267">
        <v>45657</v>
      </c>
      <c r="L466" s="99" t="s">
        <v>125</v>
      </c>
      <c r="M466" s="99" t="s">
        <v>20</v>
      </c>
      <c r="N466" s="108" t="s">
        <v>126</v>
      </c>
    </row>
    <row r="467" spans="1:46" ht="15.65" hidden="1" customHeight="1" x14ac:dyDescent="0.35">
      <c r="A467" s="99">
        <v>22.607011</v>
      </c>
      <c r="B467" s="99"/>
      <c r="C467" s="99" t="s">
        <v>268</v>
      </c>
      <c r="D467" s="168" t="s">
        <v>28</v>
      </c>
      <c r="E467" s="150" t="s">
        <v>986</v>
      </c>
      <c r="F467" s="75"/>
      <c r="G467" s="106" t="s">
        <v>269</v>
      </c>
      <c r="H467" s="106" t="s">
        <v>270</v>
      </c>
      <c r="I467" s="99"/>
      <c r="J467" s="99" t="s">
        <v>56</v>
      </c>
      <c r="K467" s="267">
        <v>45657</v>
      </c>
      <c r="L467" s="99" t="s">
        <v>125</v>
      </c>
      <c r="M467" s="99" t="s">
        <v>20</v>
      </c>
      <c r="N467" s="108" t="s">
        <v>126</v>
      </c>
    </row>
    <row r="468" spans="1:46" ht="15.65" hidden="1" customHeight="1" x14ac:dyDescent="0.35">
      <c r="A468" s="99">
        <v>22.697012000000001</v>
      </c>
      <c r="B468" s="99"/>
      <c r="C468" s="99" t="s">
        <v>271</v>
      </c>
      <c r="D468" s="168" t="s">
        <v>28</v>
      </c>
      <c r="E468" s="150" t="s">
        <v>986</v>
      </c>
      <c r="F468" s="75"/>
      <c r="G468" s="106" t="s">
        <v>272</v>
      </c>
      <c r="H468" s="106" t="s">
        <v>273</v>
      </c>
      <c r="I468" s="99"/>
      <c r="J468" s="99" t="s">
        <v>56</v>
      </c>
      <c r="K468" s="267">
        <v>45657</v>
      </c>
      <c r="L468" s="99" t="s">
        <v>125</v>
      </c>
      <c r="M468" s="99" t="s">
        <v>20</v>
      </c>
      <c r="N468" s="108" t="s">
        <v>126</v>
      </c>
    </row>
    <row r="469" spans="1:46" s="89" customFormat="1" ht="15.65" hidden="1" customHeight="1" x14ac:dyDescent="0.35">
      <c r="A469" s="101" t="s">
        <v>274</v>
      </c>
      <c r="B469" s="101"/>
      <c r="C469" s="101" t="s">
        <v>275</v>
      </c>
      <c r="D469" s="168" t="s">
        <v>28</v>
      </c>
      <c r="E469" s="150" t="s">
        <v>986</v>
      </c>
      <c r="F469" s="75"/>
      <c r="G469" s="288">
        <v>46.35</v>
      </c>
      <c r="H469" s="288">
        <v>51.35</v>
      </c>
      <c r="I469" s="99"/>
      <c r="J469" s="99" t="s">
        <v>56</v>
      </c>
      <c r="K469" s="267">
        <v>45657</v>
      </c>
      <c r="L469" s="99" t="s">
        <v>125</v>
      </c>
      <c r="M469" s="99" t="s">
        <v>20</v>
      </c>
      <c r="N469" s="108" t="s">
        <v>126</v>
      </c>
      <c r="O469" s="71"/>
      <c r="P469" s="71"/>
      <c r="Q469" s="71"/>
      <c r="R469" s="71"/>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c r="AS469" s="71"/>
      <c r="AT469" s="71"/>
    </row>
    <row r="470" spans="1:46" s="89" customFormat="1" ht="15.65" hidden="1" customHeight="1" x14ac:dyDescent="0.35">
      <c r="A470" s="99" t="s">
        <v>276</v>
      </c>
      <c r="B470" s="99"/>
      <c r="C470" s="99" t="s">
        <v>277</v>
      </c>
      <c r="D470" s="168" t="s">
        <v>28</v>
      </c>
      <c r="E470" s="150" t="s">
        <v>986</v>
      </c>
      <c r="F470" s="75"/>
      <c r="G470" s="106" t="s">
        <v>278</v>
      </c>
      <c r="H470" s="106" t="s">
        <v>279</v>
      </c>
      <c r="I470" s="99"/>
      <c r="J470" s="99" t="s">
        <v>56</v>
      </c>
      <c r="K470" s="267">
        <v>45657</v>
      </c>
      <c r="L470" s="99" t="s">
        <v>125</v>
      </c>
      <c r="M470" s="99" t="s">
        <v>20</v>
      </c>
      <c r="N470" s="108" t="s">
        <v>126</v>
      </c>
      <c r="O470" s="71"/>
      <c r="P470" s="71"/>
      <c r="Q470" s="71"/>
      <c r="R470" s="71"/>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row>
    <row r="471" spans="1:46" s="89" customFormat="1" ht="15.65" hidden="1" customHeight="1" x14ac:dyDescent="0.35">
      <c r="A471" s="99">
        <v>29.01</v>
      </c>
      <c r="B471" s="99"/>
      <c r="C471" s="99" t="s">
        <v>280</v>
      </c>
      <c r="D471" s="168" t="s">
        <v>28</v>
      </c>
      <c r="E471" s="150" t="s">
        <v>986</v>
      </c>
      <c r="F471" s="75"/>
      <c r="G471" s="106" t="s">
        <v>281</v>
      </c>
      <c r="H471" s="106" t="s">
        <v>282</v>
      </c>
      <c r="I471" s="99"/>
      <c r="J471" s="99" t="s">
        <v>56</v>
      </c>
      <c r="K471" s="267">
        <v>45657</v>
      </c>
      <c r="L471" s="99" t="s">
        <v>125</v>
      </c>
      <c r="M471" s="99" t="s">
        <v>20</v>
      </c>
      <c r="N471" s="108" t="s">
        <v>126</v>
      </c>
      <c r="O471" s="71"/>
      <c r="P471" s="71"/>
      <c r="Q471" s="71"/>
      <c r="R471" s="71"/>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c r="AS471" s="71"/>
      <c r="AT471" s="71"/>
    </row>
    <row r="472" spans="1:46" s="89" customFormat="1" ht="15.65" hidden="1" customHeight="1" x14ac:dyDescent="0.35">
      <c r="A472" s="99">
        <v>31.08</v>
      </c>
      <c r="B472" s="99"/>
      <c r="C472" s="99" t="s">
        <v>283</v>
      </c>
      <c r="D472" s="168" t="s">
        <v>28</v>
      </c>
      <c r="E472" s="150" t="s">
        <v>986</v>
      </c>
      <c r="F472" s="75"/>
      <c r="G472" s="106" t="s">
        <v>284</v>
      </c>
      <c r="H472" s="106" t="s">
        <v>285</v>
      </c>
      <c r="I472" s="99"/>
      <c r="J472" s="99" t="s">
        <v>56</v>
      </c>
      <c r="K472" s="267">
        <v>45657</v>
      </c>
      <c r="L472" s="99" t="s">
        <v>125</v>
      </c>
      <c r="M472" s="99" t="s">
        <v>20</v>
      </c>
      <c r="N472" s="108" t="s">
        <v>126</v>
      </c>
      <c r="O472" s="71"/>
      <c r="P472" s="71"/>
      <c r="Q472" s="71"/>
      <c r="R472" s="71"/>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c r="AS472" s="71"/>
      <c r="AT472" s="71"/>
    </row>
    <row r="473" spans="1:46" s="89" customFormat="1" ht="15.65" hidden="1" customHeight="1" x14ac:dyDescent="0.35">
      <c r="A473" s="99" t="s">
        <v>286</v>
      </c>
      <c r="B473" s="99"/>
      <c r="C473" s="99" t="s">
        <v>287</v>
      </c>
      <c r="D473" s="168" t="s">
        <v>28</v>
      </c>
      <c r="E473" s="150" t="s">
        <v>986</v>
      </c>
      <c r="F473" s="75"/>
      <c r="G473" s="106" t="s">
        <v>288</v>
      </c>
      <c r="H473" s="106" t="s">
        <v>289</v>
      </c>
      <c r="I473" s="99"/>
      <c r="J473" s="99" t="s">
        <v>56</v>
      </c>
      <c r="K473" s="267">
        <v>45657</v>
      </c>
      <c r="L473" s="99" t="s">
        <v>125</v>
      </c>
      <c r="M473" s="99" t="s">
        <v>20</v>
      </c>
      <c r="N473" s="108" t="s">
        <v>126</v>
      </c>
      <c r="O473" s="71"/>
      <c r="P473" s="71"/>
      <c r="Q473" s="71"/>
      <c r="R473" s="71"/>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c r="AS473" s="71"/>
      <c r="AT473" s="71"/>
    </row>
    <row r="474" spans="1:46" ht="15.65" hidden="1" customHeight="1" x14ac:dyDescent="0.35">
      <c r="A474" s="99">
        <v>31.097472</v>
      </c>
      <c r="B474" s="99"/>
      <c r="C474" s="99" t="s">
        <v>290</v>
      </c>
      <c r="D474" s="168" t="s">
        <v>28</v>
      </c>
      <c r="E474" s="150" t="s">
        <v>986</v>
      </c>
      <c r="F474" s="75"/>
      <c r="G474" s="106" t="s">
        <v>291</v>
      </c>
      <c r="H474" s="106" t="s">
        <v>292</v>
      </c>
      <c r="I474" s="99"/>
      <c r="J474" s="99" t="s">
        <v>56</v>
      </c>
      <c r="K474" s="267">
        <v>45657</v>
      </c>
      <c r="L474" s="99" t="s">
        <v>125</v>
      </c>
      <c r="M474" s="99" t="s">
        <v>20</v>
      </c>
      <c r="N474" s="108" t="s">
        <v>126</v>
      </c>
    </row>
    <row r="475" spans="1:46" ht="15.65" hidden="1" customHeight="1" x14ac:dyDescent="0.35">
      <c r="A475" s="99">
        <v>31.097550999999999</v>
      </c>
      <c r="B475" s="99"/>
      <c r="C475" s="99" t="s">
        <v>293</v>
      </c>
      <c r="D475" s="168" t="s">
        <v>28</v>
      </c>
      <c r="E475" s="150" t="s">
        <v>986</v>
      </c>
      <c r="F475" s="75"/>
      <c r="G475" s="106" t="s">
        <v>294</v>
      </c>
      <c r="H475" s="106" t="s">
        <v>295</v>
      </c>
      <c r="I475" s="99"/>
      <c r="J475" s="99" t="s">
        <v>56</v>
      </c>
      <c r="K475" s="267">
        <v>45657</v>
      </c>
      <c r="L475" s="99" t="s">
        <v>125</v>
      </c>
      <c r="M475" s="99" t="s">
        <v>20</v>
      </c>
      <c r="N475" s="108" t="s">
        <v>126</v>
      </c>
    </row>
    <row r="476" spans="1:46" ht="15.65" hidden="1" customHeight="1" x14ac:dyDescent="0.35">
      <c r="A476" s="99" t="s">
        <v>296</v>
      </c>
      <c r="B476" s="99"/>
      <c r="C476" s="99" t="s">
        <v>297</v>
      </c>
      <c r="D476" s="168" t="s">
        <v>28</v>
      </c>
      <c r="E476" s="150" t="s">
        <v>986</v>
      </c>
      <c r="F476" s="75"/>
      <c r="G476" s="106" t="s">
        <v>298</v>
      </c>
      <c r="H476" s="106" t="s">
        <v>299</v>
      </c>
      <c r="I476" s="99"/>
      <c r="J476" s="99" t="s">
        <v>56</v>
      </c>
      <c r="K476" s="267">
        <v>45657</v>
      </c>
      <c r="L476" s="99" t="s">
        <v>125</v>
      </c>
      <c r="M476" s="99" t="s">
        <v>20</v>
      </c>
      <c r="N476" s="108" t="s">
        <v>126</v>
      </c>
    </row>
    <row r="477" spans="1:46" ht="15.65" hidden="1" customHeight="1" x14ac:dyDescent="0.35">
      <c r="A477" s="99">
        <v>31.22</v>
      </c>
      <c r="B477" s="99"/>
      <c r="C477" s="99" t="s">
        <v>300</v>
      </c>
      <c r="D477" s="168" t="s">
        <v>28</v>
      </c>
      <c r="E477" s="150" t="s">
        <v>986</v>
      </c>
      <c r="F477" s="75"/>
      <c r="G477" s="106" t="s">
        <v>301</v>
      </c>
      <c r="H477" s="106" t="s">
        <v>302</v>
      </c>
      <c r="I477" s="99"/>
      <c r="J477" s="99" t="s">
        <v>56</v>
      </c>
      <c r="K477" s="267">
        <v>45657</v>
      </c>
      <c r="L477" s="99" t="s">
        <v>125</v>
      </c>
      <c r="M477" s="99" t="s">
        <v>20</v>
      </c>
      <c r="N477" s="108" t="s">
        <v>126</v>
      </c>
    </row>
    <row r="478" spans="1:46" ht="15.65" hidden="1" customHeight="1" x14ac:dyDescent="0.35">
      <c r="A478" s="99">
        <v>31.56</v>
      </c>
      <c r="B478" s="99"/>
      <c r="C478" s="99" t="s">
        <v>303</v>
      </c>
      <c r="D478" s="168" t="s">
        <v>28</v>
      </c>
      <c r="E478" s="150" t="s">
        <v>986</v>
      </c>
      <c r="F478" s="75"/>
      <c r="G478" s="106" t="s">
        <v>304</v>
      </c>
      <c r="H478" s="106" t="s">
        <v>305</v>
      </c>
      <c r="I478" s="99"/>
      <c r="J478" s="99" t="s">
        <v>56</v>
      </c>
      <c r="K478" s="267">
        <v>45657</v>
      </c>
      <c r="L478" s="99" t="s">
        <v>125</v>
      </c>
      <c r="M478" s="99" t="s">
        <v>20</v>
      </c>
      <c r="N478" s="108" t="s">
        <v>126</v>
      </c>
    </row>
    <row r="479" spans="1:46" s="89" customFormat="1" ht="15.65" hidden="1" customHeight="1" x14ac:dyDescent="0.35">
      <c r="A479" s="99">
        <v>32.01</v>
      </c>
      <c r="B479" s="99"/>
      <c r="C479" s="99" t="s">
        <v>306</v>
      </c>
      <c r="D479" s="168" t="s">
        <v>28</v>
      </c>
      <c r="E479" s="150" t="s">
        <v>986</v>
      </c>
      <c r="F479" s="75"/>
      <c r="G479" s="106" t="s">
        <v>307</v>
      </c>
      <c r="H479" s="106" t="s">
        <v>308</v>
      </c>
      <c r="I479" s="99"/>
      <c r="J479" s="99" t="s">
        <v>56</v>
      </c>
      <c r="K479" s="267">
        <v>45657</v>
      </c>
      <c r="L479" s="99" t="s">
        <v>125</v>
      </c>
      <c r="M479" s="99" t="s">
        <v>20</v>
      </c>
      <c r="N479" s="108" t="s">
        <v>126</v>
      </c>
      <c r="O479" s="71"/>
      <c r="P479" s="71"/>
      <c r="Q479" s="71"/>
      <c r="R479" s="71"/>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c r="AS479" s="71"/>
      <c r="AT479" s="71"/>
    </row>
    <row r="480" spans="1:46" s="89" customFormat="1" ht="15.65" hidden="1" customHeight="1" x14ac:dyDescent="0.35">
      <c r="A480" s="99">
        <v>33.01</v>
      </c>
      <c r="B480" s="99"/>
      <c r="C480" s="99" t="s">
        <v>309</v>
      </c>
      <c r="D480" s="168" t="s">
        <v>28</v>
      </c>
      <c r="E480" s="150" t="s">
        <v>986</v>
      </c>
      <c r="F480" s="75"/>
      <c r="G480" s="106" t="s">
        <v>310</v>
      </c>
      <c r="H480" s="106" t="s">
        <v>311</v>
      </c>
      <c r="I480" s="99"/>
      <c r="J480" s="99" t="s">
        <v>56</v>
      </c>
      <c r="K480" s="267">
        <v>45657</v>
      </c>
      <c r="L480" s="99" t="s">
        <v>125</v>
      </c>
      <c r="M480" s="99" t="s">
        <v>20</v>
      </c>
      <c r="N480" s="108" t="s">
        <v>126</v>
      </c>
      <c r="O480" s="71"/>
      <c r="P480" s="71"/>
      <c r="Q480" s="71"/>
      <c r="R480" s="71"/>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c r="AS480" s="71"/>
      <c r="AT480" s="71"/>
    </row>
    <row r="481" spans="1:46" ht="15.65" hidden="1" customHeight="1" x14ac:dyDescent="0.35">
      <c r="A481" s="99">
        <v>34.020000000000003</v>
      </c>
      <c r="B481" s="99"/>
      <c r="C481" s="99" t="s">
        <v>312</v>
      </c>
      <c r="D481" s="168" t="s">
        <v>28</v>
      </c>
      <c r="E481" s="150" t="s">
        <v>986</v>
      </c>
      <c r="F481" s="75"/>
      <c r="G481" s="106" t="s">
        <v>313</v>
      </c>
      <c r="H481" s="106" t="s">
        <v>314</v>
      </c>
      <c r="I481" s="99"/>
      <c r="J481" s="99" t="s">
        <v>56</v>
      </c>
      <c r="K481" s="267">
        <v>45657</v>
      </c>
      <c r="L481" s="99" t="s">
        <v>125</v>
      </c>
      <c r="M481" s="99" t="s">
        <v>20</v>
      </c>
      <c r="N481" s="108" t="s">
        <v>126</v>
      </c>
    </row>
    <row r="482" spans="1:46" s="89" customFormat="1" ht="15.65" hidden="1" customHeight="1" x14ac:dyDescent="0.35">
      <c r="A482" s="99">
        <v>35.01</v>
      </c>
      <c r="B482" s="99"/>
      <c r="C482" s="99" t="s">
        <v>315</v>
      </c>
      <c r="D482" s="168" t="s">
        <v>28</v>
      </c>
      <c r="E482" s="150" t="s">
        <v>986</v>
      </c>
      <c r="F482" s="75"/>
      <c r="G482" s="106" t="s">
        <v>316</v>
      </c>
      <c r="H482" s="106" t="s">
        <v>317</v>
      </c>
      <c r="I482" s="99"/>
      <c r="J482" s="99" t="s">
        <v>56</v>
      </c>
      <c r="K482" s="267">
        <v>45657</v>
      </c>
      <c r="L482" s="99" t="s">
        <v>125</v>
      </c>
      <c r="M482" s="99" t="s">
        <v>20</v>
      </c>
      <c r="N482" s="108" t="s">
        <v>126</v>
      </c>
      <c r="O482" s="71"/>
      <c r="P482" s="71"/>
      <c r="Q482" s="71"/>
      <c r="R482" s="71"/>
      <c r="S482" s="71"/>
      <c r="T482" s="71"/>
      <c r="U482" s="71"/>
      <c r="V482" s="71"/>
      <c r="W482" s="71"/>
      <c r="X482" s="71"/>
      <c r="Y482" s="71"/>
      <c r="Z482" s="71"/>
      <c r="AA482" s="71"/>
      <c r="AB482" s="71"/>
      <c r="AC482" s="71"/>
      <c r="AD482" s="71"/>
      <c r="AE482" s="71"/>
      <c r="AF482" s="71"/>
      <c r="AG482" s="71"/>
      <c r="AH482" s="71"/>
      <c r="AI482" s="71"/>
      <c r="AJ482" s="71"/>
      <c r="AK482" s="71"/>
      <c r="AL482" s="71"/>
      <c r="AM482" s="71"/>
      <c r="AN482" s="71"/>
      <c r="AO482" s="71"/>
      <c r="AP482" s="71"/>
      <c r="AQ482" s="71"/>
      <c r="AR482" s="71"/>
      <c r="AS482" s="71"/>
      <c r="AT482" s="71"/>
    </row>
    <row r="483" spans="1:46" s="89" customFormat="1" ht="15.65" hidden="1" customHeight="1" x14ac:dyDescent="0.35">
      <c r="A483" s="99" t="s">
        <v>318</v>
      </c>
      <c r="B483" s="99"/>
      <c r="C483" s="99" t="s">
        <v>319</v>
      </c>
      <c r="D483" s="168" t="s">
        <v>28</v>
      </c>
      <c r="E483" s="150" t="s">
        <v>986</v>
      </c>
      <c r="F483" s="75"/>
      <c r="G483" s="106" t="s">
        <v>320</v>
      </c>
      <c r="H483" s="106" t="s">
        <v>321</v>
      </c>
      <c r="I483" s="99"/>
      <c r="J483" s="99" t="s">
        <v>56</v>
      </c>
      <c r="K483" s="267">
        <v>45657</v>
      </c>
      <c r="L483" s="99" t="s">
        <v>125</v>
      </c>
      <c r="M483" s="99" t="s">
        <v>20</v>
      </c>
      <c r="N483" s="108" t="s">
        <v>126</v>
      </c>
      <c r="O483" s="71"/>
      <c r="P483" s="71"/>
      <c r="Q483" s="71"/>
      <c r="R483" s="71"/>
      <c r="S483" s="7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c r="AS483" s="71"/>
      <c r="AT483" s="71"/>
    </row>
    <row r="484" spans="1:46" s="89" customFormat="1" ht="15.65" hidden="1" customHeight="1" x14ac:dyDescent="0.35">
      <c r="A484" s="99" t="s">
        <v>322</v>
      </c>
      <c r="B484" s="99"/>
      <c r="C484" s="99" t="s">
        <v>323</v>
      </c>
      <c r="D484" s="168" t="s">
        <v>28</v>
      </c>
      <c r="E484" s="150" t="s">
        <v>986</v>
      </c>
      <c r="F484" s="75"/>
      <c r="G484" s="106" t="s">
        <v>324</v>
      </c>
      <c r="H484" s="106" t="s">
        <v>325</v>
      </c>
      <c r="I484" s="99"/>
      <c r="J484" s="99" t="s">
        <v>56</v>
      </c>
      <c r="K484" s="267">
        <v>45657</v>
      </c>
      <c r="L484" s="99" t="s">
        <v>125</v>
      </c>
      <c r="M484" s="99" t="s">
        <v>20</v>
      </c>
      <c r="N484" s="108" t="s">
        <v>126</v>
      </c>
      <c r="O484" s="71"/>
      <c r="P484" s="71"/>
      <c r="Q484" s="71"/>
      <c r="R484" s="71"/>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row>
    <row r="485" spans="1:46" s="89" customFormat="1" ht="15.65" hidden="1" customHeight="1" x14ac:dyDescent="0.35">
      <c r="A485" s="99">
        <v>41.098331999999999</v>
      </c>
      <c r="B485" s="99"/>
      <c r="C485" s="99" t="s">
        <v>326</v>
      </c>
      <c r="D485" s="168" t="s">
        <v>28</v>
      </c>
      <c r="E485" s="150" t="s">
        <v>986</v>
      </c>
      <c r="F485" s="75"/>
      <c r="G485" s="106" t="s">
        <v>327</v>
      </c>
      <c r="H485" s="106" t="s">
        <v>328</v>
      </c>
      <c r="I485" s="99"/>
      <c r="J485" s="99" t="s">
        <v>56</v>
      </c>
      <c r="K485" s="267">
        <v>45657</v>
      </c>
      <c r="L485" s="99" t="s">
        <v>125</v>
      </c>
      <c r="M485" s="99" t="s">
        <v>20</v>
      </c>
      <c r="N485" s="108" t="s">
        <v>126</v>
      </c>
      <c r="O485" s="71"/>
      <c r="P485" s="71"/>
      <c r="Q485" s="71"/>
      <c r="R485" s="71"/>
      <c r="S485" s="71"/>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c r="AR485" s="71"/>
      <c r="AS485" s="71"/>
      <c r="AT485" s="71"/>
    </row>
    <row r="486" spans="1:46" ht="15.65" hidden="1" customHeight="1" x14ac:dyDescent="0.35">
      <c r="A486" s="99" t="s">
        <v>329</v>
      </c>
      <c r="B486" s="99"/>
      <c r="C486" s="99" t="s">
        <v>330</v>
      </c>
      <c r="D486" s="168" t="s">
        <v>28</v>
      </c>
      <c r="E486" s="150" t="s">
        <v>986</v>
      </c>
      <c r="F486" s="75"/>
      <c r="G486" s="106" t="s">
        <v>331</v>
      </c>
      <c r="H486" s="106" t="s">
        <v>332</v>
      </c>
      <c r="I486" s="99"/>
      <c r="J486" s="99" t="s">
        <v>56</v>
      </c>
      <c r="K486" s="267">
        <v>45657</v>
      </c>
      <c r="L486" s="99" t="s">
        <v>125</v>
      </c>
      <c r="M486" s="99" t="s">
        <v>20</v>
      </c>
      <c r="N486" s="108" t="s">
        <v>126</v>
      </c>
    </row>
    <row r="487" spans="1:46" s="89" customFormat="1" ht="15.65" hidden="1" customHeight="1" x14ac:dyDescent="0.35">
      <c r="A487" s="99">
        <v>43.02</v>
      </c>
      <c r="B487" s="99"/>
      <c r="C487" s="99" t="s">
        <v>333</v>
      </c>
      <c r="D487" s="168" t="s">
        <v>28</v>
      </c>
      <c r="E487" s="150" t="s">
        <v>986</v>
      </c>
      <c r="F487" s="75"/>
      <c r="G487" s="106" t="s">
        <v>334</v>
      </c>
      <c r="H487" s="106" t="s">
        <v>335</v>
      </c>
      <c r="I487" s="99"/>
      <c r="J487" s="99" t="s">
        <v>56</v>
      </c>
      <c r="K487" s="267">
        <v>45657</v>
      </c>
      <c r="L487" s="99" t="s">
        <v>125</v>
      </c>
      <c r="M487" s="99" t="s">
        <v>20</v>
      </c>
      <c r="N487" s="108" t="s">
        <v>126</v>
      </c>
      <c r="O487" s="71"/>
      <c r="P487" s="71"/>
      <c r="Q487" s="71"/>
      <c r="R487" s="71"/>
      <c r="S487" s="71"/>
      <c r="T487" s="71"/>
      <c r="U487" s="71"/>
      <c r="V487" s="71"/>
      <c r="W487" s="71"/>
      <c r="X487" s="71"/>
      <c r="Y487" s="71"/>
      <c r="Z487" s="71"/>
      <c r="AA487" s="71"/>
      <c r="AB487" s="71"/>
      <c r="AC487" s="71"/>
      <c r="AD487" s="71"/>
      <c r="AE487" s="71"/>
      <c r="AF487" s="71"/>
      <c r="AG487" s="71"/>
      <c r="AH487" s="71"/>
      <c r="AI487" s="71"/>
      <c r="AJ487" s="71"/>
      <c r="AK487" s="71"/>
      <c r="AL487" s="71"/>
      <c r="AM487" s="71"/>
      <c r="AN487" s="71"/>
      <c r="AO487" s="71"/>
      <c r="AP487" s="71"/>
      <c r="AQ487" s="71"/>
      <c r="AR487" s="71"/>
      <c r="AS487" s="71"/>
      <c r="AT487" s="71"/>
    </row>
    <row r="488" spans="1:46" s="89" customFormat="1" ht="15.65" hidden="1" customHeight="1" x14ac:dyDescent="0.35">
      <c r="A488" s="99">
        <v>48.002000000000002</v>
      </c>
      <c r="B488" s="99"/>
      <c r="C488" s="99" t="s">
        <v>336</v>
      </c>
      <c r="D488" s="168" t="s">
        <v>28</v>
      </c>
      <c r="E488" s="150" t="s">
        <v>986</v>
      </c>
      <c r="F488" s="75"/>
      <c r="G488" s="106" t="s">
        <v>337</v>
      </c>
      <c r="H488" s="106" t="s">
        <v>338</v>
      </c>
      <c r="I488" s="99"/>
      <c r="J488" s="99" t="s">
        <v>56</v>
      </c>
      <c r="K488" s="267">
        <v>45657</v>
      </c>
      <c r="L488" s="99" t="s">
        <v>125</v>
      </c>
      <c r="M488" s="99" t="s">
        <v>20</v>
      </c>
      <c r="N488" s="108" t="s">
        <v>126</v>
      </c>
      <c r="O488" s="71"/>
      <c r="P488" s="71"/>
      <c r="Q488" s="71"/>
      <c r="R488" s="71"/>
      <c r="S488" s="71"/>
      <c r="T488" s="71"/>
      <c r="U488" s="71"/>
      <c r="V488" s="71"/>
      <c r="W488" s="71"/>
      <c r="X488" s="71"/>
      <c r="Y488" s="71"/>
      <c r="Z488" s="71"/>
      <c r="AA488" s="71"/>
      <c r="AB488" s="71"/>
      <c r="AC488" s="71"/>
      <c r="AD488" s="71"/>
      <c r="AE488" s="71"/>
      <c r="AF488" s="71"/>
      <c r="AG488" s="71"/>
      <c r="AH488" s="71"/>
      <c r="AI488" s="71"/>
      <c r="AJ488" s="71"/>
      <c r="AK488" s="71"/>
      <c r="AL488" s="71"/>
      <c r="AM488" s="71"/>
      <c r="AN488" s="71"/>
      <c r="AO488" s="71"/>
      <c r="AP488" s="71"/>
      <c r="AQ488" s="71"/>
      <c r="AR488" s="71"/>
      <c r="AS488" s="71"/>
      <c r="AT488" s="71"/>
    </row>
    <row r="489" spans="1:46" s="89" customFormat="1" ht="15.65" hidden="1" customHeight="1" x14ac:dyDescent="0.35">
      <c r="A489" s="99">
        <v>48.067171000000002</v>
      </c>
      <c r="B489" s="99"/>
      <c r="C489" s="99" t="s">
        <v>339</v>
      </c>
      <c r="D489" s="168" t="s">
        <v>28</v>
      </c>
      <c r="E489" s="150" t="s">
        <v>986</v>
      </c>
      <c r="F489" s="75"/>
      <c r="G489" s="106" t="s">
        <v>340</v>
      </c>
      <c r="H489" s="106" t="s">
        <v>341</v>
      </c>
      <c r="I489" s="99"/>
      <c r="J489" s="99" t="s">
        <v>56</v>
      </c>
      <c r="K489" s="267">
        <v>45657</v>
      </c>
      <c r="L489" s="99" t="s">
        <v>125</v>
      </c>
      <c r="M489" s="99" t="s">
        <v>20</v>
      </c>
      <c r="N489" s="108" t="s">
        <v>126</v>
      </c>
      <c r="O489" s="71"/>
      <c r="P489" s="71"/>
      <c r="Q489" s="71"/>
      <c r="R489" s="71"/>
      <c r="S489" s="71"/>
      <c r="T489" s="71"/>
      <c r="U489" s="71"/>
      <c r="V489" s="71"/>
      <c r="W489" s="71"/>
      <c r="X489" s="71"/>
      <c r="Y489" s="71"/>
      <c r="Z489" s="71"/>
      <c r="AA489" s="71"/>
      <c r="AB489" s="71"/>
      <c r="AC489" s="71"/>
      <c r="AD489" s="71"/>
      <c r="AE489" s="71"/>
      <c r="AF489" s="71"/>
      <c r="AG489" s="71"/>
      <c r="AH489" s="71"/>
      <c r="AI489" s="71"/>
      <c r="AJ489" s="71"/>
      <c r="AK489" s="71"/>
      <c r="AL489" s="71"/>
      <c r="AM489" s="71"/>
      <c r="AN489" s="71"/>
      <c r="AO489" s="71"/>
      <c r="AP489" s="71"/>
      <c r="AQ489" s="71"/>
      <c r="AR489" s="71"/>
      <c r="AS489" s="71"/>
      <c r="AT489" s="71"/>
    </row>
    <row r="490" spans="1:46" ht="15.65" hidden="1" customHeight="1" x14ac:dyDescent="0.35">
      <c r="A490" s="99" t="s">
        <v>342</v>
      </c>
      <c r="B490" s="99"/>
      <c r="C490" s="99" t="s">
        <v>343</v>
      </c>
      <c r="D490" s="168" t="s">
        <v>28</v>
      </c>
      <c r="E490" s="150" t="s">
        <v>986</v>
      </c>
      <c r="F490" s="75"/>
      <c r="G490" s="106" t="s">
        <v>344</v>
      </c>
      <c r="H490" s="106">
        <v>34.21</v>
      </c>
      <c r="I490" s="99"/>
      <c r="J490" s="99" t="s">
        <v>56</v>
      </c>
      <c r="K490" s="267">
        <v>45657</v>
      </c>
      <c r="L490" s="99" t="s">
        <v>125</v>
      </c>
      <c r="M490" s="99" t="s">
        <v>20</v>
      </c>
      <c r="N490" s="108" t="s">
        <v>126</v>
      </c>
    </row>
    <row r="491" spans="1:46" s="89" customFormat="1" ht="15.65" hidden="1" customHeight="1" x14ac:dyDescent="0.35">
      <c r="A491" s="99" t="s">
        <v>345</v>
      </c>
      <c r="B491" s="99"/>
      <c r="C491" s="99" t="s">
        <v>346</v>
      </c>
      <c r="D491" s="168" t="s">
        <v>28</v>
      </c>
      <c r="E491" s="150" t="s">
        <v>986</v>
      </c>
      <c r="F491" s="75"/>
      <c r="G491" s="106" t="s">
        <v>347</v>
      </c>
      <c r="H491" s="106" t="s">
        <v>348</v>
      </c>
      <c r="I491" s="99"/>
      <c r="J491" s="99" t="s">
        <v>56</v>
      </c>
      <c r="K491" s="267">
        <v>45657</v>
      </c>
      <c r="L491" s="99" t="s">
        <v>125</v>
      </c>
      <c r="M491" s="99" t="s">
        <v>20</v>
      </c>
      <c r="N491" s="108" t="s">
        <v>126</v>
      </c>
      <c r="O491" s="71"/>
      <c r="P491" s="71"/>
      <c r="Q491" s="71"/>
      <c r="R491" s="71"/>
      <c r="S491" s="71"/>
      <c r="T491" s="71"/>
      <c r="U491" s="71"/>
      <c r="V491" s="71"/>
      <c r="W491" s="71"/>
      <c r="X491" s="71"/>
      <c r="Y491" s="71"/>
      <c r="Z491" s="71"/>
      <c r="AA491" s="71"/>
      <c r="AB491" s="71"/>
      <c r="AC491" s="71"/>
      <c r="AD491" s="71"/>
      <c r="AE491" s="71"/>
      <c r="AF491" s="71"/>
      <c r="AG491" s="71"/>
      <c r="AH491" s="71"/>
      <c r="AI491" s="71"/>
      <c r="AJ491" s="71"/>
      <c r="AK491" s="71"/>
      <c r="AL491" s="71"/>
      <c r="AM491" s="71"/>
      <c r="AN491" s="71"/>
      <c r="AO491" s="71"/>
      <c r="AP491" s="71"/>
      <c r="AQ491" s="71"/>
      <c r="AR491" s="71"/>
      <c r="AS491" s="71"/>
      <c r="AT491" s="71"/>
    </row>
    <row r="492" spans="1:46" s="89" customFormat="1" ht="15.65" hidden="1" customHeight="1" x14ac:dyDescent="0.35">
      <c r="A492" s="99" t="s">
        <v>349</v>
      </c>
      <c r="B492" s="99"/>
      <c r="C492" s="99" t="s">
        <v>350</v>
      </c>
      <c r="D492" s="168" t="s">
        <v>28</v>
      </c>
      <c r="E492" s="150" t="s">
        <v>986</v>
      </c>
      <c r="F492" s="75"/>
      <c r="G492" s="106" t="s">
        <v>351</v>
      </c>
      <c r="H492" s="106" t="s">
        <v>352</v>
      </c>
      <c r="I492" s="99"/>
      <c r="J492" s="99" t="s">
        <v>56</v>
      </c>
      <c r="K492" s="267">
        <v>45657</v>
      </c>
      <c r="L492" s="99" t="s">
        <v>125</v>
      </c>
      <c r="M492" s="99" t="s">
        <v>20</v>
      </c>
      <c r="N492" s="108" t="s">
        <v>126</v>
      </c>
      <c r="O492" s="71"/>
      <c r="P492" s="71"/>
      <c r="Q492" s="71"/>
      <c r="R492" s="71"/>
      <c r="S492" s="71"/>
      <c r="T492" s="71"/>
      <c r="U492" s="71"/>
      <c r="V492" s="71"/>
      <c r="W492" s="71"/>
      <c r="X492" s="71"/>
      <c r="Y492" s="71"/>
      <c r="Z492" s="71"/>
      <c r="AA492" s="71"/>
      <c r="AB492" s="71"/>
      <c r="AC492" s="71"/>
      <c r="AD492" s="71"/>
      <c r="AE492" s="71"/>
      <c r="AF492" s="71"/>
      <c r="AG492" s="71"/>
      <c r="AH492" s="71"/>
      <c r="AI492" s="71"/>
      <c r="AJ492" s="71"/>
      <c r="AK492" s="71"/>
      <c r="AL492" s="71"/>
      <c r="AM492" s="71"/>
      <c r="AN492" s="71"/>
      <c r="AO492" s="71"/>
      <c r="AP492" s="71"/>
      <c r="AQ492" s="71"/>
      <c r="AR492" s="71"/>
      <c r="AS492" s="71"/>
      <c r="AT492" s="71"/>
    </row>
    <row r="493" spans="1:46" s="89" customFormat="1" ht="15.65" hidden="1" customHeight="1" x14ac:dyDescent="0.35">
      <c r="A493" s="99" t="s">
        <v>353</v>
      </c>
      <c r="B493" s="99"/>
      <c r="C493" s="99" t="s">
        <v>354</v>
      </c>
      <c r="D493" s="168" t="s">
        <v>28</v>
      </c>
      <c r="E493" s="150" t="s">
        <v>986</v>
      </c>
      <c r="F493" s="75"/>
      <c r="G493" s="106" t="s">
        <v>355</v>
      </c>
      <c r="H493" s="106" t="s">
        <v>356</v>
      </c>
      <c r="I493" s="99"/>
      <c r="J493" s="99" t="s">
        <v>56</v>
      </c>
      <c r="K493" s="267">
        <v>45657</v>
      </c>
      <c r="L493" s="99" t="s">
        <v>125</v>
      </c>
      <c r="M493" s="99" t="s">
        <v>20</v>
      </c>
      <c r="N493" s="108" t="s">
        <v>126</v>
      </c>
      <c r="O493" s="71"/>
      <c r="P493" s="71"/>
      <c r="Q493" s="71"/>
      <c r="R493" s="71"/>
      <c r="S493" s="71"/>
      <c r="T493" s="71"/>
      <c r="U493" s="71"/>
      <c r="V493" s="71"/>
      <c r="W493" s="71"/>
      <c r="X493" s="71"/>
      <c r="Y493" s="71"/>
      <c r="Z493" s="71"/>
      <c r="AA493" s="71"/>
      <c r="AB493" s="71"/>
      <c r="AC493" s="71"/>
      <c r="AD493" s="71"/>
      <c r="AE493" s="71"/>
      <c r="AF493" s="71"/>
      <c r="AG493" s="71"/>
      <c r="AH493" s="71"/>
      <c r="AI493" s="71"/>
      <c r="AJ493" s="71"/>
      <c r="AK493" s="71"/>
      <c r="AL493" s="71"/>
      <c r="AM493" s="71"/>
      <c r="AN493" s="71"/>
      <c r="AO493" s="71"/>
      <c r="AP493" s="71"/>
      <c r="AQ493" s="71"/>
      <c r="AR493" s="71"/>
      <c r="AS493" s="71"/>
      <c r="AT493" s="71"/>
    </row>
    <row r="494" spans="1:46" s="89" customFormat="1" ht="15.65" hidden="1" customHeight="1" x14ac:dyDescent="0.35">
      <c r="A494" s="99">
        <v>51.097506000000003</v>
      </c>
      <c r="B494" s="99"/>
      <c r="C494" s="99" t="s">
        <v>357</v>
      </c>
      <c r="D494" s="168" t="s">
        <v>28</v>
      </c>
      <c r="E494" s="150" t="s">
        <v>986</v>
      </c>
      <c r="F494" s="75"/>
      <c r="G494" s="106" t="s">
        <v>358</v>
      </c>
      <c r="H494" s="106" t="s">
        <v>359</v>
      </c>
      <c r="I494" s="99"/>
      <c r="J494" s="99" t="s">
        <v>56</v>
      </c>
      <c r="K494" s="267">
        <v>45657</v>
      </c>
      <c r="L494" s="99" t="s">
        <v>125</v>
      </c>
      <c r="M494" s="99" t="s">
        <v>20</v>
      </c>
      <c r="N494" s="108" t="s">
        <v>126</v>
      </c>
      <c r="O494" s="71"/>
      <c r="P494" s="71"/>
      <c r="Q494" s="71"/>
      <c r="R494" s="71"/>
      <c r="S494" s="71"/>
      <c r="T494" s="71"/>
      <c r="U494" s="71"/>
      <c r="V494" s="71"/>
      <c r="W494" s="71"/>
      <c r="X494" s="71"/>
      <c r="Y494" s="71"/>
      <c r="Z494" s="71"/>
      <c r="AA494" s="71"/>
      <c r="AB494" s="71"/>
      <c r="AC494" s="71"/>
      <c r="AD494" s="71"/>
      <c r="AE494" s="71"/>
      <c r="AF494" s="71"/>
      <c r="AG494" s="71"/>
      <c r="AH494" s="71"/>
      <c r="AI494" s="71"/>
      <c r="AJ494" s="71"/>
      <c r="AK494" s="71"/>
      <c r="AL494" s="71"/>
      <c r="AM494" s="71"/>
      <c r="AN494" s="71"/>
      <c r="AO494" s="71"/>
      <c r="AP494" s="71"/>
      <c r="AQ494" s="71"/>
      <c r="AR494" s="71"/>
      <c r="AS494" s="71"/>
      <c r="AT494" s="71"/>
    </row>
    <row r="495" spans="1:46" s="89" customFormat="1" ht="15.65" hidden="1" customHeight="1" x14ac:dyDescent="0.35">
      <c r="A495" s="99" t="s">
        <v>360</v>
      </c>
      <c r="B495" s="99"/>
      <c r="C495" s="99" t="s">
        <v>361</v>
      </c>
      <c r="D495" s="168" t="s">
        <v>28</v>
      </c>
      <c r="E495" s="150" t="s">
        <v>986</v>
      </c>
      <c r="F495" s="75"/>
      <c r="G495" s="106" t="s">
        <v>362</v>
      </c>
      <c r="H495" s="106" t="s">
        <v>363</v>
      </c>
      <c r="I495" s="99"/>
      <c r="J495" s="99" t="s">
        <v>56</v>
      </c>
      <c r="K495" s="267">
        <v>45657</v>
      </c>
      <c r="L495" s="99" t="s">
        <v>125</v>
      </c>
      <c r="M495" s="99" t="s">
        <v>20</v>
      </c>
      <c r="N495" s="108" t="s">
        <v>126</v>
      </c>
      <c r="O495" s="71"/>
      <c r="P495" s="71"/>
      <c r="Q495" s="71"/>
      <c r="R495" s="71"/>
      <c r="S495" s="71"/>
      <c r="T495" s="71"/>
      <c r="U495" s="71"/>
      <c r="V495" s="71"/>
      <c r="W495" s="71"/>
      <c r="X495" s="71"/>
      <c r="Y495" s="71"/>
      <c r="Z495" s="71"/>
      <c r="AA495" s="71"/>
      <c r="AB495" s="71"/>
      <c r="AC495" s="71"/>
      <c r="AD495" s="71"/>
      <c r="AE495" s="71"/>
      <c r="AF495" s="71"/>
      <c r="AG495" s="71"/>
      <c r="AH495" s="71"/>
      <c r="AI495" s="71"/>
      <c r="AJ495" s="71"/>
      <c r="AK495" s="71"/>
      <c r="AL495" s="71"/>
      <c r="AM495" s="71"/>
      <c r="AN495" s="71"/>
      <c r="AO495" s="71"/>
      <c r="AP495" s="71"/>
      <c r="AQ495" s="71"/>
      <c r="AR495" s="71"/>
      <c r="AS495" s="71"/>
      <c r="AT495" s="71"/>
    </row>
    <row r="496" spans="1:46" s="89" customFormat="1" ht="15.65" hidden="1" customHeight="1" x14ac:dyDescent="0.35">
      <c r="A496" s="99">
        <v>51.43</v>
      </c>
      <c r="B496" s="99"/>
      <c r="C496" s="99" t="s">
        <v>364</v>
      </c>
      <c r="D496" s="168" t="s">
        <v>28</v>
      </c>
      <c r="E496" s="150" t="s">
        <v>986</v>
      </c>
      <c r="F496" s="75"/>
      <c r="G496" s="106" t="s">
        <v>365</v>
      </c>
      <c r="H496" s="106" t="s">
        <v>366</v>
      </c>
      <c r="I496" s="99"/>
      <c r="J496" s="99" t="s">
        <v>56</v>
      </c>
      <c r="K496" s="267">
        <v>45657</v>
      </c>
      <c r="L496" s="99" t="s">
        <v>125</v>
      </c>
      <c r="M496" s="99" t="s">
        <v>20</v>
      </c>
      <c r="N496" s="108" t="s">
        <v>126</v>
      </c>
      <c r="O496" s="71"/>
      <c r="P496" s="71"/>
      <c r="Q496" s="71"/>
      <c r="R496" s="71"/>
      <c r="S496" s="71"/>
      <c r="T496" s="71"/>
      <c r="U496" s="71"/>
      <c r="V496" s="71"/>
      <c r="W496" s="71"/>
      <c r="X496" s="71"/>
      <c r="Y496" s="71"/>
      <c r="Z496" s="71"/>
      <c r="AA496" s="71"/>
      <c r="AB496" s="71"/>
      <c r="AC496" s="71"/>
      <c r="AD496" s="71"/>
      <c r="AE496" s="71"/>
      <c r="AF496" s="71"/>
      <c r="AG496" s="71"/>
      <c r="AH496" s="71"/>
      <c r="AI496" s="71"/>
      <c r="AJ496" s="71"/>
      <c r="AK496" s="71"/>
      <c r="AL496" s="71"/>
      <c r="AM496" s="71"/>
      <c r="AN496" s="71"/>
      <c r="AO496" s="71"/>
      <c r="AP496" s="71"/>
      <c r="AQ496" s="71"/>
      <c r="AR496" s="71"/>
      <c r="AS496" s="71"/>
      <c r="AT496" s="71"/>
    </row>
    <row r="497" spans="1:46" s="89" customFormat="1" ht="15.65" hidden="1" customHeight="1" x14ac:dyDescent="0.25">
      <c r="A497" s="147">
        <v>51.43</v>
      </c>
      <c r="B497" s="147"/>
      <c r="C497" s="148" t="s">
        <v>367</v>
      </c>
      <c r="D497" s="149" t="s">
        <v>368</v>
      </c>
      <c r="E497" s="150" t="s">
        <v>369</v>
      </c>
      <c r="F497" s="77"/>
      <c r="G497" s="151">
        <v>18.008999999999997</v>
      </c>
      <c r="H497" s="152">
        <v>23.008999999999997</v>
      </c>
      <c r="I497" s="77"/>
      <c r="J497" s="153" t="s">
        <v>370</v>
      </c>
      <c r="K497" s="154">
        <v>45291</v>
      </c>
      <c r="L497" s="153" t="s">
        <v>371</v>
      </c>
      <c r="M497" s="153" t="s">
        <v>372</v>
      </c>
      <c r="N497" s="155" t="s">
        <v>373</v>
      </c>
      <c r="O497" s="71"/>
      <c r="P497" s="71"/>
      <c r="Q497" s="71"/>
      <c r="R497" s="71"/>
      <c r="S497" s="71"/>
      <c r="T497" s="71"/>
      <c r="U497" s="71"/>
      <c r="V497" s="71"/>
      <c r="W497" s="71"/>
      <c r="X497" s="71"/>
      <c r="Y497" s="71"/>
      <c r="Z497" s="71"/>
      <c r="AA497" s="71"/>
      <c r="AB497" s="71"/>
      <c r="AC497" s="71"/>
      <c r="AD497" s="71"/>
      <c r="AE497" s="71"/>
      <c r="AF497" s="71"/>
      <c r="AG497" s="71"/>
      <c r="AH497" s="71"/>
      <c r="AI497" s="71"/>
      <c r="AJ497" s="71"/>
      <c r="AK497" s="71"/>
      <c r="AL497" s="71"/>
      <c r="AM497" s="71"/>
      <c r="AN497" s="71"/>
      <c r="AO497" s="71"/>
      <c r="AP497" s="71"/>
      <c r="AQ497" s="71"/>
      <c r="AR497" s="71"/>
      <c r="AS497" s="71"/>
      <c r="AT497" s="71"/>
    </row>
    <row r="498" spans="1:46" ht="15.65" hidden="1" customHeight="1" x14ac:dyDescent="0.35">
      <c r="A498" s="156" t="s">
        <v>374</v>
      </c>
      <c r="B498" s="156"/>
      <c r="C498" s="77" t="s">
        <v>375</v>
      </c>
      <c r="D498" s="157" t="s">
        <v>368</v>
      </c>
      <c r="E498" s="150" t="s">
        <v>369</v>
      </c>
      <c r="F498" s="77"/>
      <c r="G498" s="115">
        <v>55.05</v>
      </c>
      <c r="H498" s="115">
        <f>G498+5</f>
        <v>60.05</v>
      </c>
      <c r="I498" s="77"/>
      <c r="J498" s="77" t="s">
        <v>376</v>
      </c>
      <c r="K498" s="93">
        <v>45291</v>
      </c>
      <c r="L498" s="77" t="s">
        <v>377</v>
      </c>
      <c r="M498" s="77"/>
      <c r="N498" s="94" t="s">
        <v>378</v>
      </c>
    </row>
    <row r="499" spans="1:46" s="89" customFormat="1" ht="15.65" hidden="1" customHeight="1" x14ac:dyDescent="0.35">
      <c r="A499" s="156" t="s">
        <v>379</v>
      </c>
      <c r="B499" s="156"/>
      <c r="C499" s="158" t="s">
        <v>380</v>
      </c>
      <c r="D499" s="157" t="s">
        <v>381</v>
      </c>
      <c r="E499" s="150" t="s">
        <v>369</v>
      </c>
      <c r="F499" s="77"/>
      <c r="G499" s="115">
        <v>50.35</v>
      </c>
      <c r="H499" s="92">
        <v>55.35</v>
      </c>
      <c r="I499" s="77"/>
      <c r="J499" s="77" t="s">
        <v>382</v>
      </c>
      <c r="K499" s="93">
        <v>45291</v>
      </c>
      <c r="L499" s="77" t="s">
        <v>383</v>
      </c>
      <c r="M499" s="77" t="s">
        <v>20</v>
      </c>
      <c r="N499" s="94" t="s">
        <v>384</v>
      </c>
      <c r="O499" s="71"/>
      <c r="P499" s="71"/>
      <c r="Q499" s="71"/>
      <c r="R499" s="71"/>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1"/>
      <c r="AS499" s="71"/>
      <c r="AT499" s="71"/>
    </row>
    <row r="500" spans="1:46" s="89" customFormat="1" ht="15.65" hidden="1" customHeight="1" x14ac:dyDescent="0.35">
      <c r="A500" s="156" t="s">
        <v>260</v>
      </c>
      <c r="B500" s="156"/>
      <c r="C500" s="158" t="s">
        <v>385</v>
      </c>
      <c r="D500" s="157" t="s">
        <v>368</v>
      </c>
      <c r="E500" s="150" t="s">
        <v>369</v>
      </c>
      <c r="F500" s="77"/>
      <c r="G500" s="92">
        <v>42.85</v>
      </c>
      <c r="H500" s="92">
        <v>47.85</v>
      </c>
      <c r="I500" s="77"/>
      <c r="J500" s="77" t="s">
        <v>382</v>
      </c>
      <c r="K500" s="93">
        <v>45291</v>
      </c>
      <c r="L500" s="77" t="s">
        <v>386</v>
      </c>
      <c r="M500" s="77" t="s">
        <v>20</v>
      </c>
      <c r="N500" s="94"/>
      <c r="O500" s="71"/>
      <c r="P500" s="71"/>
      <c r="Q500" s="71"/>
      <c r="R500" s="71"/>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row>
    <row r="501" spans="1:46" s="89" customFormat="1" ht="15.65" hidden="1" customHeight="1" x14ac:dyDescent="0.35">
      <c r="A501" s="156" t="s">
        <v>387</v>
      </c>
      <c r="B501" s="156"/>
      <c r="C501" s="158" t="s">
        <v>388</v>
      </c>
      <c r="D501" s="157" t="s">
        <v>368</v>
      </c>
      <c r="E501" s="150" t="s">
        <v>369</v>
      </c>
      <c r="F501" s="77"/>
      <c r="G501" s="92">
        <v>48.85</v>
      </c>
      <c r="H501" s="92">
        <v>53.85</v>
      </c>
      <c r="I501" s="77"/>
      <c r="J501" s="77" t="s">
        <v>382</v>
      </c>
      <c r="K501" s="93">
        <v>45291</v>
      </c>
      <c r="L501" s="77" t="s">
        <v>389</v>
      </c>
      <c r="M501" s="77" t="s">
        <v>20</v>
      </c>
      <c r="N501" s="94"/>
      <c r="O501" s="71"/>
      <c r="P501" s="71"/>
      <c r="Q501" s="71"/>
      <c r="R501" s="71"/>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1"/>
      <c r="AS501" s="71"/>
      <c r="AT501" s="71"/>
    </row>
    <row r="502" spans="1:46" s="89" customFormat="1" ht="15.65" hidden="1" customHeight="1" x14ac:dyDescent="0.35">
      <c r="A502" s="156" t="s">
        <v>390</v>
      </c>
      <c r="B502" s="156"/>
      <c r="C502" s="158" t="s">
        <v>391</v>
      </c>
      <c r="D502" s="157" t="s">
        <v>368</v>
      </c>
      <c r="E502" s="150" t="s">
        <v>369</v>
      </c>
      <c r="F502" s="77"/>
      <c r="G502" s="115">
        <v>65.8</v>
      </c>
      <c r="H502" s="115">
        <v>70.8</v>
      </c>
      <c r="I502" s="77"/>
      <c r="J502" s="77" t="s">
        <v>382</v>
      </c>
      <c r="K502" s="93">
        <v>45291</v>
      </c>
      <c r="L502" s="77" t="s">
        <v>389</v>
      </c>
      <c r="M502" s="77" t="s">
        <v>20</v>
      </c>
      <c r="N502" s="94"/>
      <c r="O502" s="71"/>
      <c r="P502" s="71"/>
      <c r="Q502" s="71"/>
      <c r="R502" s="71"/>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row>
    <row r="503" spans="1:46" ht="15.65" hidden="1" customHeight="1" x14ac:dyDescent="0.35">
      <c r="A503" s="156" t="s">
        <v>72</v>
      </c>
      <c r="B503" s="156"/>
      <c r="C503" s="158" t="s">
        <v>392</v>
      </c>
      <c r="D503" s="157" t="s">
        <v>368</v>
      </c>
      <c r="E503" s="150" t="s">
        <v>369</v>
      </c>
      <c r="F503" s="77"/>
      <c r="G503" s="92">
        <v>81.25</v>
      </c>
      <c r="H503" s="92">
        <v>86.25</v>
      </c>
      <c r="I503" s="77"/>
      <c r="J503" s="77" t="s">
        <v>382</v>
      </c>
      <c r="K503" s="93">
        <v>45291</v>
      </c>
      <c r="L503" s="77" t="s">
        <v>393</v>
      </c>
      <c r="M503" s="77" t="s">
        <v>20</v>
      </c>
      <c r="N503" s="94"/>
    </row>
    <row r="504" spans="1:46" s="89" customFormat="1" ht="15.65" hidden="1" customHeight="1" x14ac:dyDescent="0.35">
      <c r="A504" s="156" t="s">
        <v>394</v>
      </c>
      <c r="B504" s="156"/>
      <c r="C504" s="158" t="s">
        <v>395</v>
      </c>
      <c r="D504" s="157" t="s">
        <v>368</v>
      </c>
      <c r="E504" s="150" t="s">
        <v>369</v>
      </c>
      <c r="F504" s="77"/>
      <c r="G504" s="115">
        <v>153</v>
      </c>
      <c r="H504" s="115">
        <v>158</v>
      </c>
      <c r="I504" s="77"/>
      <c r="J504" s="77" t="s">
        <v>382</v>
      </c>
      <c r="K504" s="93">
        <v>45291</v>
      </c>
      <c r="L504" s="77" t="s">
        <v>396</v>
      </c>
      <c r="M504" s="77" t="s">
        <v>20</v>
      </c>
      <c r="N504" s="94"/>
      <c r="O504" s="71"/>
      <c r="P504" s="71"/>
      <c r="Q504" s="71"/>
      <c r="R504" s="71"/>
      <c r="S504" s="71"/>
      <c r="T504" s="71"/>
      <c r="U504" s="71"/>
      <c r="V504" s="71"/>
      <c r="W504" s="71"/>
      <c r="X504" s="71"/>
      <c r="Y504" s="71"/>
      <c r="Z504" s="71"/>
      <c r="AA504" s="71"/>
      <c r="AB504" s="71"/>
      <c r="AC504" s="71"/>
      <c r="AD504" s="71"/>
      <c r="AE504" s="71"/>
      <c r="AF504" s="71"/>
      <c r="AG504" s="71"/>
      <c r="AH504" s="71"/>
      <c r="AI504" s="71"/>
      <c r="AJ504" s="71"/>
      <c r="AK504" s="71"/>
      <c r="AL504" s="71"/>
      <c r="AM504" s="71"/>
      <c r="AN504" s="71"/>
      <c r="AO504" s="71"/>
      <c r="AP504" s="71"/>
      <c r="AQ504" s="71"/>
      <c r="AR504" s="71"/>
      <c r="AS504" s="71"/>
      <c r="AT504" s="71"/>
    </row>
    <row r="505" spans="1:46" s="89" customFormat="1" ht="15.65" hidden="1" customHeight="1" x14ac:dyDescent="0.35">
      <c r="A505" s="156" t="s">
        <v>397</v>
      </c>
      <c r="B505" s="156"/>
      <c r="C505" s="158" t="s">
        <v>398</v>
      </c>
      <c r="D505" s="157" t="s">
        <v>368</v>
      </c>
      <c r="E505" s="150" t="s">
        <v>369</v>
      </c>
      <c r="F505" s="77"/>
      <c r="G505" s="115">
        <v>160</v>
      </c>
      <c r="H505" s="115">
        <v>165</v>
      </c>
      <c r="I505" s="77"/>
      <c r="J505" s="77" t="s">
        <v>399</v>
      </c>
      <c r="K505" s="93">
        <v>45291</v>
      </c>
      <c r="L505" s="77" t="s">
        <v>400</v>
      </c>
      <c r="M505" s="77" t="s">
        <v>401</v>
      </c>
      <c r="N505" s="94" t="s">
        <v>402</v>
      </c>
      <c r="O505" s="71"/>
      <c r="P505" s="71"/>
      <c r="Q505" s="71"/>
      <c r="R505" s="71"/>
      <c r="S505" s="71"/>
      <c r="T505" s="71"/>
      <c r="U505" s="71"/>
      <c r="V505" s="71"/>
      <c r="W505" s="71"/>
      <c r="X505" s="71"/>
      <c r="Y505" s="71"/>
      <c r="Z505" s="71"/>
      <c r="AA505" s="71"/>
      <c r="AB505" s="71"/>
      <c r="AC505" s="71"/>
      <c r="AD505" s="71"/>
      <c r="AE505" s="71"/>
      <c r="AF505" s="71"/>
      <c r="AG505" s="71"/>
      <c r="AH505" s="71"/>
      <c r="AI505" s="71"/>
      <c r="AJ505" s="71"/>
      <c r="AK505" s="71"/>
      <c r="AL505" s="71"/>
      <c r="AM505" s="71"/>
      <c r="AN505" s="71"/>
      <c r="AO505" s="71"/>
      <c r="AP505" s="71"/>
      <c r="AQ505" s="71"/>
      <c r="AR505" s="71"/>
      <c r="AS505" s="71"/>
      <c r="AT505" s="71"/>
    </row>
    <row r="506" spans="1:46" s="89" customFormat="1" ht="15.65" hidden="1" customHeight="1" x14ac:dyDescent="0.35">
      <c r="A506" s="156" t="s">
        <v>22</v>
      </c>
      <c r="B506" s="156"/>
      <c r="C506" s="158" t="s">
        <v>403</v>
      </c>
      <c r="D506" s="157" t="s">
        <v>368</v>
      </c>
      <c r="E506" s="150" t="s">
        <v>369</v>
      </c>
      <c r="F506" s="77"/>
      <c r="G506" s="115">
        <v>36</v>
      </c>
      <c r="H506" s="115">
        <v>41</v>
      </c>
      <c r="I506" s="77"/>
      <c r="J506" s="77" t="s">
        <v>404</v>
      </c>
      <c r="K506" s="93">
        <v>45291</v>
      </c>
      <c r="L506" s="77" t="s">
        <v>405</v>
      </c>
      <c r="M506" s="77" t="s">
        <v>100</v>
      </c>
      <c r="N506" s="94" t="s">
        <v>406</v>
      </c>
      <c r="O506" s="71"/>
      <c r="P506" s="71"/>
      <c r="Q506" s="71"/>
      <c r="R506" s="71"/>
      <c r="S506" s="71"/>
      <c r="T506" s="71"/>
      <c r="U506" s="71"/>
      <c r="V506" s="71"/>
      <c r="W506" s="71"/>
      <c r="X506" s="71"/>
      <c r="Y506" s="71"/>
      <c r="Z506" s="71"/>
      <c r="AA506" s="71"/>
      <c r="AB506" s="71"/>
      <c r="AC506" s="71"/>
      <c r="AD506" s="71"/>
      <c r="AE506" s="71"/>
      <c r="AF506" s="71"/>
      <c r="AG506" s="71"/>
      <c r="AH506" s="71"/>
      <c r="AI506" s="71"/>
      <c r="AJ506" s="71"/>
      <c r="AK506" s="71"/>
      <c r="AL506" s="71"/>
      <c r="AM506" s="71"/>
      <c r="AN506" s="71"/>
      <c r="AO506" s="71"/>
      <c r="AP506" s="71"/>
      <c r="AQ506" s="71"/>
      <c r="AR506" s="71"/>
      <c r="AS506" s="71"/>
      <c r="AT506" s="71"/>
    </row>
    <row r="507" spans="1:46" s="89" customFormat="1" ht="15.65" hidden="1" customHeight="1" x14ac:dyDescent="0.35">
      <c r="A507" s="156" t="s">
        <v>407</v>
      </c>
      <c r="B507" s="156"/>
      <c r="C507" s="158" t="s">
        <v>408</v>
      </c>
      <c r="D507" s="157" t="s">
        <v>368</v>
      </c>
      <c r="E507" s="150" t="s">
        <v>369</v>
      </c>
      <c r="F507" s="77"/>
      <c r="G507" s="115">
        <v>30.05</v>
      </c>
      <c r="H507" s="115">
        <v>35.049999999999997</v>
      </c>
      <c r="I507" s="77"/>
      <c r="J507" s="77" t="s">
        <v>404</v>
      </c>
      <c r="K507" s="93">
        <v>45291</v>
      </c>
      <c r="L507" s="77" t="s">
        <v>405</v>
      </c>
      <c r="M507" s="77" t="s">
        <v>100</v>
      </c>
      <c r="N507" s="94" t="s">
        <v>406</v>
      </c>
      <c r="O507" s="71"/>
      <c r="P507" s="71"/>
      <c r="Q507" s="71"/>
      <c r="R507" s="71"/>
      <c r="S507" s="71"/>
      <c r="T507" s="71"/>
      <c r="U507" s="71"/>
      <c r="V507" s="71"/>
      <c r="W507" s="71"/>
      <c r="X507" s="71"/>
      <c r="Y507" s="71"/>
      <c r="Z507" s="71"/>
      <c r="AA507" s="71"/>
      <c r="AB507" s="71"/>
      <c r="AC507" s="71"/>
      <c r="AD507" s="71"/>
      <c r="AE507" s="71"/>
      <c r="AF507" s="71"/>
      <c r="AG507" s="71"/>
      <c r="AH507" s="71"/>
      <c r="AI507" s="71"/>
      <c r="AJ507" s="71"/>
      <c r="AK507" s="71"/>
      <c r="AL507" s="71"/>
      <c r="AM507" s="71"/>
      <c r="AN507" s="71"/>
      <c r="AO507" s="71"/>
      <c r="AP507" s="71"/>
      <c r="AQ507" s="71"/>
      <c r="AR507" s="71"/>
      <c r="AS507" s="71"/>
      <c r="AT507" s="71"/>
    </row>
    <row r="508" spans="1:46" s="89" customFormat="1" ht="15.65" hidden="1" customHeight="1" x14ac:dyDescent="0.35">
      <c r="A508" s="156" t="s">
        <v>241</v>
      </c>
      <c r="B508" s="156"/>
      <c r="C508" s="158" t="s">
        <v>409</v>
      </c>
      <c r="D508" s="157" t="s">
        <v>368</v>
      </c>
      <c r="E508" s="150" t="s">
        <v>369</v>
      </c>
      <c r="F508" s="77"/>
      <c r="G508" s="115">
        <v>60.7</v>
      </c>
      <c r="H508" s="115">
        <v>65.7</v>
      </c>
      <c r="I508" s="77"/>
      <c r="J508" s="77" t="s">
        <v>410</v>
      </c>
      <c r="K508" s="93">
        <v>45291</v>
      </c>
      <c r="L508" s="77" t="s">
        <v>411</v>
      </c>
      <c r="M508" s="77" t="s">
        <v>104</v>
      </c>
      <c r="N508" s="94"/>
      <c r="O508" s="71"/>
      <c r="P508" s="71"/>
      <c r="Q508" s="71"/>
      <c r="R508" s="71"/>
      <c r="S508" s="71"/>
      <c r="T508" s="71"/>
      <c r="U508" s="71"/>
      <c r="V508" s="71"/>
      <c r="W508" s="71"/>
      <c r="X508" s="71"/>
      <c r="Y508" s="71"/>
      <c r="Z508" s="71"/>
      <c r="AA508" s="71"/>
      <c r="AB508" s="71"/>
      <c r="AC508" s="71"/>
      <c r="AD508" s="71"/>
      <c r="AE508" s="71"/>
      <c r="AF508" s="71"/>
      <c r="AG508" s="71"/>
      <c r="AH508" s="71"/>
      <c r="AI508" s="71"/>
      <c r="AJ508" s="71"/>
      <c r="AK508" s="71"/>
      <c r="AL508" s="71"/>
      <c r="AM508" s="71"/>
      <c r="AN508" s="71"/>
      <c r="AO508" s="71"/>
      <c r="AP508" s="71"/>
      <c r="AQ508" s="71"/>
      <c r="AR508" s="71"/>
      <c r="AS508" s="71"/>
      <c r="AT508" s="71"/>
    </row>
    <row r="509" spans="1:46" ht="15.65" hidden="1" customHeight="1" x14ac:dyDescent="0.35">
      <c r="A509" s="156" t="s">
        <v>412</v>
      </c>
      <c r="B509" s="156"/>
      <c r="C509" s="158" t="s">
        <v>413</v>
      </c>
      <c r="D509" s="157" t="s">
        <v>368</v>
      </c>
      <c r="E509" s="150" t="s">
        <v>369</v>
      </c>
      <c r="F509" s="77"/>
      <c r="G509" s="92">
        <v>47.05</v>
      </c>
      <c r="H509" s="92">
        <v>52.05</v>
      </c>
      <c r="I509" s="77"/>
      <c r="J509" s="77" t="s">
        <v>410</v>
      </c>
      <c r="K509" s="93">
        <v>45291</v>
      </c>
      <c r="L509" s="77" t="s">
        <v>411</v>
      </c>
      <c r="M509" s="77" t="s">
        <v>104</v>
      </c>
      <c r="N509" s="94"/>
    </row>
    <row r="510" spans="1:46" ht="15.65" hidden="1" customHeight="1" x14ac:dyDescent="0.35">
      <c r="A510" s="156" t="s">
        <v>414</v>
      </c>
      <c r="B510" s="156"/>
      <c r="C510" s="159" t="s">
        <v>415</v>
      </c>
      <c r="D510" s="157" t="s">
        <v>368</v>
      </c>
      <c r="E510" s="150" t="s">
        <v>369</v>
      </c>
      <c r="F510" s="77"/>
      <c r="G510" s="92">
        <v>251.75</v>
      </c>
      <c r="H510" s="115">
        <v>254.5</v>
      </c>
      <c r="I510" s="160"/>
      <c r="J510" s="77" t="s">
        <v>416</v>
      </c>
      <c r="K510" s="93">
        <v>45107</v>
      </c>
      <c r="L510" s="114" t="s">
        <v>417</v>
      </c>
      <c r="M510" s="77" t="s">
        <v>100</v>
      </c>
      <c r="N510" s="94" t="s">
        <v>418</v>
      </c>
    </row>
    <row r="511" spans="1:46" s="89" customFormat="1" ht="15.65" hidden="1" customHeight="1" x14ac:dyDescent="0.25">
      <c r="A511" s="161" t="s">
        <v>161</v>
      </c>
      <c r="B511" s="161"/>
      <c r="C511" s="162" t="s">
        <v>419</v>
      </c>
      <c r="D511" s="157" t="s">
        <v>368</v>
      </c>
      <c r="E511" s="150" t="s">
        <v>369</v>
      </c>
      <c r="F511" s="163"/>
      <c r="G511" s="164">
        <v>83.35</v>
      </c>
      <c r="H511" s="165">
        <v>88.35</v>
      </c>
      <c r="I511" s="77"/>
      <c r="J511" s="77" t="s">
        <v>420</v>
      </c>
      <c r="K511" s="93">
        <v>45291</v>
      </c>
      <c r="L511" s="77" t="s">
        <v>421</v>
      </c>
      <c r="M511" s="77" t="s">
        <v>372</v>
      </c>
      <c r="N511" s="94" t="s">
        <v>422</v>
      </c>
      <c r="O511" s="71"/>
      <c r="P511" s="71"/>
      <c r="Q511" s="71"/>
      <c r="R511" s="71"/>
      <c r="S511" s="71"/>
      <c r="T511" s="71"/>
      <c r="U511" s="71"/>
      <c r="V511" s="71"/>
      <c r="W511" s="71"/>
      <c r="X511" s="71"/>
      <c r="Y511" s="71"/>
      <c r="Z511" s="71"/>
      <c r="AA511" s="71"/>
      <c r="AB511" s="71"/>
      <c r="AC511" s="71"/>
      <c r="AD511" s="71"/>
      <c r="AE511" s="71"/>
      <c r="AF511" s="71"/>
      <c r="AG511" s="71"/>
      <c r="AH511" s="71"/>
      <c r="AI511" s="71"/>
      <c r="AJ511" s="71"/>
      <c r="AK511" s="71"/>
      <c r="AL511" s="71"/>
      <c r="AM511" s="71"/>
      <c r="AN511" s="71"/>
      <c r="AO511" s="71"/>
      <c r="AP511" s="71"/>
      <c r="AQ511" s="71"/>
      <c r="AR511" s="71"/>
      <c r="AS511" s="71"/>
      <c r="AT511" s="71"/>
    </row>
    <row r="512" spans="1:46" ht="15.65" hidden="1" customHeight="1" x14ac:dyDescent="0.25">
      <c r="A512" s="166" t="s">
        <v>423</v>
      </c>
      <c r="B512" s="166"/>
      <c r="C512" s="162" t="s">
        <v>424</v>
      </c>
      <c r="D512" s="157" t="s">
        <v>368</v>
      </c>
      <c r="E512" s="167" t="s">
        <v>369</v>
      </c>
      <c r="F512" s="163"/>
      <c r="G512" s="164">
        <v>117.85</v>
      </c>
      <c r="H512" s="165">
        <v>122.85</v>
      </c>
      <c r="I512" s="77"/>
      <c r="J512" s="77" t="s">
        <v>420</v>
      </c>
      <c r="K512" s="93">
        <v>45291</v>
      </c>
      <c r="L512" s="77" t="s">
        <v>421</v>
      </c>
      <c r="M512" s="77" t="s">
        <v>372</v>
      </c>
      <c r="N512" s="94" t="s">
        <v>422</v>
      </c>
    </row>
    <row r="513" spans="1:46" s="89" customFormat="1" ht="15.65" hidden="1" customHeight="1" x14ac:dyDescent="0.25">
      <c r="A513" s="166" t="s">
        <v>134</v>
      </c>
      <c r="B513" s="166"/>
      <c r="C513" s="162" t="s">
        <v>425</v>
      </c>
      <c r="D513" s="157" t="s">
        <v>368</v>
      </c>
      <c r="E513" s="168" t="s">
        <v>369</v>
      </c>
      <c r="F513" s="163"/>
      <c r="G513" s="164">
        <v>34.4</v>
      </c>
      <c r="H513" s="165">
        <v>39.4</v>
      </c>
      <c r="I513" s="77"/>
      <c r="J513" s="77" t="s">
        <v>420</v>
      </c>
      <c r="K513" s="93">
        <v>45291</v>
      </c>
      <c r="L513" s="77" t="s">
        <v>421</v>
      </c>
      <c r="M513" s="77" t="s">
        <v>372</v>
      </c>
      <c r="N513" s="94" t="s">
        <v>422</v>
      </c>
      <c r="O513" s="71"/>
      <c r="P513" s="71"/>
      <c r="Q513" s="71"/>
      <c r="R513" s="71"/>
      <c r="S513" s="71"/>
      <c r="T513" s="71"/>
      <c r="U513" s="71"/>
      <c r="V513" s="71"/>
      <c r="W513" s="71"/>
      <c r="X513" s="71"/>
      <c r="Y513" s="71"/>
      <c r="Z513" s="71"/>
      <c r="AA513" s="71"/>
      <c r="AB513" s="71"/>
      <c r="AC513" s="71"/>
      <c r="AD513" s="71"/>
      <c r="AE513" s="71"/>
      <c r="AF513" s="71"/>
      <c r="AG513" s="71"/>
      <c r="AH513" s="71"/>
      <c r="AI513" s="71"/>
      <c r="AJ513" s="71"/>
      <c r="AK513" s="71"/>
      <c r="AL513" s="71"/>
      <c r="AM513" s="71"/>
      <c r="AN513" s="71"/>
      <c r="AO513" s="71"/>
      <c r="AP513" s="71"/>
      <c r="AQ513" s="71"/>
      <c r="AR513" s="71"/>
      <c r="AS513" s="71"/>
      <c r="AT513" s="71"/>
    </row>
    <row r="514" spans="1:46" s="89" customFormat="1" ht="15.65" hidden="1" customHeight="1" x14ac:dyDescent="0.35">
      <c r="A514" s="169">
        <v>22.497074999999999</v>
      </c>
      <c r="B514" s="169"/>
      <c r="C514" s="169" t="s">
        <v>426</v>
      </c>
      <c r="D514" s="170" t="s">
        <v>427</v>
      </c>
      <c r="E514" s="170" t="s">
        <v>369</v>
      </c>
      <c r="F514" s="169"/>
      <c r="G514" s="171">
        <v>36.25</v>
      </c>
      <c r="H514" s="171">
        <f t="shared" ref="H514:H526" si="0">G514+2.75</f>
        <v>39</v>
      </c>
      <c r="I514" s="172"/>
      <c r="J514" s="99" t="s">
        <v>428</v>
      </c>
      <c r="K514" s="107">
        <v>44561</v>
      </c>
      <c r="L514" s="99"/>
      <c r="M514" s="99"/>
      <c r="N514" s="173" t="s">
        <v>429</v>
      </c>
      <c r="O514" s="71"/>
      <c r="P514" s="71"/>
      <c r="Q514" s="71"/>
      <c r="R514" s="71"/>
      <c r="S514" s="71"/>
      <c r="T514" s="71"/>
      <c r="U514" s="71"/>
      <c r="V514" s="71"/>
      <c r="W514" s="71"/>
      <c r="X514" s="71"/>
      <c r="Y514" s="71"/>
      <c r="Z514" s="71"/>
      <c r="AA514" s="71"/>
      <c r="AB514" s="71"/>
      <c r="AC514" s="71"/>
      <c r="AD514" s="71"/>
      <c r="AE514" s="71"/>
      <c r="AF514" s="71"/>
      <c r="AG514" s="71"/>
      <c r="AH514" s="71"/>
      <c r="AI514" s="71"/>
      <c r="AJ514" s="71"/>
      <c r="AK514" s="71"/>
      <c r="AL514" s="71"/>
      <c r="AM514" s="71"/>
      <c r="AN514" s="71"/>
      <c r="AO514" s="71"/>
      <c r="AP514" s="71"/>
      <c r="AQ514" s="71"/>
      <c r="AR514" s="71"/>
      <c r="AS514" s="71"/>
      <c r="AT514" s="71"/>
    </row>
    <row r="515" spans="1:46" s="89" customFormat="1" ht="15.65" hidden="1" customHeight="1" x14ac:dyDescent="0.35">
      <c r="A515" s="169">
        <v>22.607013999999999</v>
      </c>
      <c r="B515" s="169"/>
      <c r="C515" s="169" t="s">
        <v>91</v>
      </c>
      <c r="D515" s="170" t="s">
        <v>427</v>
      </c>
      <c r="E515" s="170" t="s">
        <v>369</v>
      </c>
      <c r="F515" s="174"/>
      <c r="G515" s="171">
        <v>55</v>
      </c>
      <c r="H515" s="171">
        <f t="shared" si="0"/>
        <v>57.75</v>
      </c>
      <c r="I515" s="172"/>
      <c r="J515" s="99" t="s">
        <v>428</v>
      </c>
      <c r="K515" s="107">
        <v>44196</v>
      </c>
      <c r="L515" s="99"/>
      <c r="M515" s="99"/>
      <c r="N515" s="173" t="s">
        <v>429</v>
      </c>
      <c r="O515" s="71"/>
      <c r="P515" s="71"/>
      <c r="Q515" s="71"/>
      <c r="R515" s="71"/>
      <c r="S515" s="71"/>
      <c r="T515" s="71"/>
      <c r="U515" s="71"/>
      <c r="V515" s="71"/>
      <c r="W515" s="71"/>
      <c r="X515" s="71"/>
      <c r="Y515" s="71"/>
      <c r="Z515" s="71"/>
      <c r="AA515" s="71"/>
      <c r="AB515" s="71"/>
      <c r="AC515" s="71"/>
      <c r="AD515" s="71"/>
      <c r="AE515" s="71"/>
      <c r="AF515" s="71"/>
      <c r="AG515" s="71"/>
      <c r="AH515" s="71"/>
      <c r="AI515" s="71"/>
      <c r="AJ515" s="71"/>
      <c r="AK515" s="71"/>
      <c r="AL515" s="71"/>
      <c r="AM515" s="71"/>
      <c r="AN515" s="71"/>
      <c r="AO515" s="71"/>
      <c r="AP515" s="71"/>
      <c r="AQ515" s="71"/>
      <c r="AR515" s="71"/>
      <c r="AS515" s="71"/>
      <c r="AT515" s="71"/>
    </row>
    <row r="516" spans="1:46" s="89" customFormat="1" ht="15.65" hidden="1" customHeight="1" x14ac:dyDescent="0.35">
      <c r="A516" s="175" t="s">
        <v>430</v>
      </c>
      <c r="B516" s="175"/>
      <c r="C516" s="167" t="s">
        <v>431</v>
      </c>
      <c r="D516" s="167" t="s">
        <v>427</v>
      </c>
      <c r="E516" s="167" t="s">
        <v>369</v>
      </c>
      <c r="F516" s="174"/>
      <c r="G516" s="176">
        <v>31.7</v>
      </c>
      <c r="H516" s="176">
        <f t="shared" si="0"/>
        <v>34.450000000000003</v>
      </c>
      <c r="I516" s="177"/>
      <c r="J516" s="150" t="s">
        <v>432</v>
      </c>
      <c r="K516" s="178">
        <v>44561</v>
      </c>
      <c r="L516" s="150"/>
      <c r="M516" s="150" t="s">
        <v>20</v>
      </c>
      <c r="N516" s="150" t="s">
        <v>433</v>
      </c>
      <c r="O516" s="71"/>
      <c r="P516" s="71"/>
      <c r="Q516" s="71"/>
      <c r="R516" s="71"/>
      <c r="S516" s="71"/>
      <c r="T516" s="71"/>
      <c r="U516" s="71"/>
      <c r="V516" s="71"/>
      <c r="W516" s="71"/>
      <c r="X516" s="71"/>
      <c r="Y516" s="71"/>
      <c r="Z516" s="71"/>
      <c r="AA516" s="71"/>
      <c r="AB516" s="71"/>
      <c r="AC516" s="71"/>
      <c r="AD516" s="71"/>
      <c r="AE516" s="71"/>
      <c r="AF516" s="71"/>
      <c r="AG516" s="71"/>
      <c r="AH516" s="71"/>
      <c r="AI516" s="71"/>
      <c r="AJ516" s="71"/>
      <c r="AK516" s="71"/>
      <c r="AL516" s="71"/>
      <c r="AM516" s="71"/>
      <c r="AN516" s="71"/>
      <c r="AO516" s="71"/>
      <c r="AP516" s="71"/>
      <c r="AQ516" s="71"/>
      <c r="AR516" s="71"/>
      <c r="AS516" s="71"/>
      <c r="AT516" s="71"/>
    </row>
    <row r="517" spans="1:46" ht="15.65" hidden="1" customHeight="1" x14ac:dyDescent="0.35">
      <c r="A517" s="175" t="s">
        <v>47</v>
      </c>
      <c r="B517" s="175"/>
      <c r="C517" s="167" t="s">
        <v>434</v>
      </c>
      <c r="D517" s="167" t="s">
        <v>427</v>
      </c>
      <c r="E517" s="167" t="s">
        <v>369</v>
      </c>
      <c r="F517" s="174"/>
      <c r="G517" s="176">
        <v>22.5</v>
      </c>
      <c r="H517" s="176">
        <f t="shared" si="0"/>
        <v>25.25</v>
      </c>
      <c r="I517" s="177"/>
      <c r="J517" s="150" t="s">
        <v>428</v>
      </c>
      <c r="K517" s="178">
        <v>44196</v>
      </c>
      <c r="L517" s="150"/>
      <c r="M517" s="150"/>
      <c r="N517" s="150" t="s">
        <v>429</v>
      </c>
    </row>
    <row r="518" spans="1:46" s="89" customFormat="1" ht="15.65" hidden="1" customHeight="1" x14ac:dyDescent="0.35">
      <c r="A518" s="175" t="s">
        <v>435</v>
      </c>
      <c r="B518" s="175"/>
      <c r="C518" s="167" t="s">
        <v>436</v>
      </c>
      <c r="D518" s="167" t="s">
        <v>427</v>
      </c>
      <c r="E518" s="170" t="s">
        <v>369</v>
      </c>
      <c r="F518" s="174"/>
      <c r="G518" s="176">
        <v>23.8</v>
      </c>
      <c r="H518" s="176">
        <f t="shared" si="0"/>
        <v>26.55</v>
      </c>
      <c r="I518" s="177"/>
      <c r="J518" s="150"/>
      <c r="K518" s="178">
        <v>44043</v>
      </c>
      <c r="L518" s="150" t="s">
        <v>427</v>
      </c>
      <c r="M518" s="99"/>
      <c r="N518" s="108" t="s">
        <v>427</v>
      </c>
      <c r="O518" s="71"/>
      <c r="P518" s="71"/>
      <c r="Q518" s="71"/>
      <c r="R518" s="71"/>
      <c r="S518" s="71"/>
      <c r="T518" s="71"/>
      <c r="U518" s="71"/>
      <c r="V518" s="71"/>
      <c r="W518" s="71"/>
      <c r="X518" s="71"/>
      <c r="Y518" s="71"/>
      <c r="Z518" s="71"/>
      <c r="AA518" s="71"/>
      <c r="AB518" s="71"/>
      <c r="AC518" s="71"/>
      <c r="AD518" s="71"/>
      <c r="AE518" s="71"/>
      <c r="AF518" s="71"/>
      <c r="AG518" s="71"/>
      <c r="AH518" s="71"/>
      <c r="AI518" s="71"/>
      <c r="AJ518" s="71"/>
      <c r="AK518" s="71"/>
      <c r="AL518" s="71"/>
      <c r="AM518" s="71"/>
      <c r="AN518" s="71"/>
      <c r="AO518" s="71"/>
      <c r="AP518" s="71"/>
      <c r="AQ518" s="71"/>
      <c r="AR518" s="71"/>
      <c r="AS518" s="71"/>
      <c r="AT518" s="71"/>
    </row>
    <row r="519" spans="1:46" ht="15.65" hidden="1" customHeight="1" x14ac:dyDescent="0.35">
      <c r="A519" s="175" t="s">
        <v>435</v>
      </c>
      <c r="B519" s="175"/>
      <c r="C519" s="167" t="s">
        <v>436</v>
      </c>
      <c r="D519" s="167" t="s">
        <v>427</v>
      </c>
      <c r="E519" s="170" t="s">
        <v>369</v>
      </c>
      <c r="F519" s="174"/>
      <c r="G519" s="176">
        <v>23.8</v>
      </c>
      <c r="H519" s="176">
        <f t="shared" si="0"/>
        <v>26.55</v>
      </c>
      <c r="I519" s="177"/>
      <c r="J519" s="150" t="s">
        <v>437</v>
      </c>
      <c r="K519" s="178">
        <v>44196</v>
      </c>
      <c r="L519" s="150" t="s">
        <v>427</v>
      </c>
      <c r="M519" s="150"/>
      <c r="N519" s="179" t="s">
        <v>427</v>
      </c>
    </row>
    <row r="520" spans="1:46" ht="15.65" hidden="1" customHeight="1" x14ac:dyDescent="0.35">
      <c r="A520" s="180" t="s">
        <v>435</v>
      </c>
      <c r="B520" s="180"/>
      <c r="C520" s="181" t="s">
        <v>436</v>
      </c>
      <c r="D520" s="167" t="s">
        <v>427</v>
      </c>
      <c r="E520" s="170" t="s">
        <v>369</v>
      </c>
      <c r="F520" s="174"/>
      <c r="G520" s="171">
        <v>23.8</v>
      </c>
      <c r="H520" s="171">
        <f t="shared" si="0"/>
        <v>26.55</v>
      </c>
      <c r="I520" s="172"/>
      <c r="J520" s="99" t="s">
        <v>437</v>
      </c>
      <c r="K520" s="107">
        <v>44561</v>
      </c>
      <c r="L520" s="169" t="s">
        <v>438</v>
      </c>
      <c r="M520" s="99"/>
      <c r="N520" s="182" t="s">
        <v>439</v>
      </c>
    </row>
    <row r="521" spans="1:46" ht="15.65" hidden="1" customHeight="1" x14ac:dyDescent="0.35">
      <c r="A521" s="175" t="s">
        <v>127</v>
      </c>
      <c r="B521" s="175"/>
      <c r="C521" s="167" t="s">
        <v>440</v>
      </c>
      <c r="D521" s="167" t="s">
        <v>427</v>
      </c>
      <c r="E521" s="170" t="s">
        <v>369</v>
      </c>
      <c r="F521" s="174"/>
      <c r="G521" s="176">
        <v>31.35</v>
      </c>
      <c r="H521" s="176">
        <f t="shared" si="0"/>
        <v>34.1</v>
      </c>
      <c r="I521" s="177"/>
      <c r="J521" s="150" t="s">
        <v>441</v>
      </c>
      <c r="K521" s="178">
        <v>44043</v>
      </c>
      <c r="L521" s="150" t="s">
        <v>427</v>
      </c>
      <c r="M521" s="99"/>
      <c r="N521" s="108" t="s">
        <v>427</v>
      </c>
    </row>
    <row r="522" spans="1:46" s="89" customFormat="1" ht="15.65" hidden="1" customHeight="1" x14ac:dyDescent="0.35">
      <c r="A522" s="180" t="s">
        <v>127</v>
      </c>
      <c r="B522" s="180"/>
      <c r="C522" s="181" t="s">
        <v>440</v>
      </c>
      <c r="D522" s="167" t="s">
        <v>427</v>
      </c>
      <c r="E522" s="170" t="s">
        <v>369</v>
      </c>
      <c r="F522" s="174"/>
      <c r="G522" s="171">
        <v>31.35</v>
      </c>
      <c r="H522" s="171">
        <f t="shared" si="0"/>
        <v>34.1</v>
      </c>
      <c r="I522" s="172"/>
      <c r="J522" s="99" t="s">
        <v>428</v>
      </c>
      <c r="K522" s="107">
        <v>44561</v>
      </c>
      <c r="L522" s="169" t="s">
        <v>442</v>
      </c>
      <c r="M522" s="99"/>
      <c r="N522" s="108" t="s">
        <v>443</v>
      </c>
      <c r="O522" s="71"/>
      <c r="P522" s="71"/>
      <c r="Q522" s="71"/>
      <c r="R522" s="71"/>
      <c r="S522" s="71"/>
      <c r="T522" s="71"/>
      <c r="U522" s="71"/>
      <c r="V522" s="71"/>
      <c r="W522" s="71"/>
      <c r="X522" s="71"/>
      <c r="Y522" s="71"/>
      <c r="Z522" s="71"/>
      <c r="AA522" s="71"/>
      <c r="AB522" s="71"/>
      <c r="AC522" s="71"/>
      <c r="AD522" s="71"/>
      <c r="AE522" s="71"/>
      <c r="AF522" s="71"/>
      <c r="AG522" s="71"/>
      <c r="AH522" s="71"/>
      <c r="AI522" s="71"/>
      <c r="AJ522" s="71"/>
      <c r="AK522" s="71"/>
      <c r="AL522" s="71"/>
      <c r="AM522" s="71"/>
      <c r="AN522" s="71"/>
      <c r="AO522" s="71"/>
      <c r="AP522" s="71"/>
      <c r="AQ522" s="71"/>
      <c r="AR522" s="71"/>
      <c r="AS522" s="71"/>
      <c r="AT522" s="71"/>
    </row>
    <row r="523" spans="1:46" s="89" customFormat="1" ht="15.65" hidden="1" customHeight="1" x14ac:dyDescent="0.35">
      <c r="A523" s="180" t="s">
        <v>127</v>
      </c>
      <c r="B523" s="180"/>
      <c r="C523" s="181" t="s">
        <v>440</v>
      </c>
      <c r="D523" s="167" t="s">
        <v>444</v>
      </c>
      <c r="E523" s="170" t="s">
        <v>369</v>
      </c>
      <c r="F523" s="174"/>
      <c r="G523" s="171">
        <v>32.9</v>
      </c>
      <c r="H523" s="171">
        <f t="shared" si="0"/>
        <v>35.65</v>
      </c>
      <c r="I523" s="172"/>
      <c r="J523" s="99" t="s">
        <v>428</v>
      </c>
      <c r="K523" s="107">
        <v>44926</v>
      </c>
      <c r="L523" s="169"/>
      <c r="M523" s="99"/>
      <c r="N523" s="108" t="s">
        <v>418</v>
      </c>
      <c r="O523" s="71"/>
      <c r="P523" s="71"/>
      <c r="Q523" s="71"/>
      <c r="R523" s="71"/>
      <c r="S523" s="71"/>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c r="AR523" s="71"/>
      <c r="AS523" s="71"/>
      <c r="AT523" s="71"/>
    </row>
    <row r="524" spans="1:46" ht="15.65" hidden="1" customHeight="1" x14ac:dyDescent="0.35">
      <c r="A524" s="183" t="s">
        <v>445</v>
      </c>
      <c r="B524" s="183"/>
      <c r="C524" s="184" t="s">
        <v>446</v>
      </c>
      <c r="D524" s="167" t="s">
        <v>427</v>
      </c>
      <c r="E524" s="167" t="s">
        <v>369</v>
      </c>
      <c r="F524" s="174"/>
      <c r="G524" s="185">
        <v>53.55</v>
      </c>
      <c r="H524" s="185">
        <f t="shared" si="0"/>
        <v>56.3</v>
      </c>
      <c r="I524" s="187"/>
      <c r="J524" s="99" t="s">
        <v>437</v>
      </c>
      <c r="K524" s="107">
        <v>44196</v>
      </c>
      <c r="L524" s="99"/>
      <c r="M524" s="99"/>
      <c r="N524" s="99" t="s">
        <v>429</v>
      </c>
    </row>
    <row r="525" spans="1:46" ht="15.65" hidden="1" customHeight="1" x14ac:dyDescent="0.35">
      <c r="A525" s="183" t="s">
        <v>445</v>
      </c>
      <c r="B525" s="183"/>
      <c r="C525" s="184" t="s">
        <v>446</v>
      </c>
      <c r="D525" s="167" t="s">
        <v>444</v>
      </c>
      <c r="E525" s="170" t="s">
        <v>369</v>
      </c>
      <c r="F525" s="174"/>
      <c r="G525" s="185">
        <v>53.15</v>
      </c>
      <c r="H525" s="185">
        <f t="shared" si="0"/>
        <v>55.9</v>
      </c>
      <c r="I525" s="187"/>
      <c r="J525" s="99" t="s">
        <v>437</v>
      </c>
      <c r="K525" s="107">
        <v>44926</v>
      </c>
      <c r="L525" s="99"/>
      <c r="M525" s="99"/>
      <c r="N525" s="99" t="s">
        <v>418</v>
      </c>
    </row>
    <row r="526" spans="1:46" ht="15.65" hidden="1" customHeight="1" x14ac:dyDescent="0.35">
      <c r="A526" s="175" t="s">
        <v>447</v>
      </c>
      <c r="B526" s="175"/>
      <c r="C526" s="167" t="s">
        <v>425</v>
      </c>
      <c r="D526" s="167" t="s">
        <v>427</v>
      </c>
      <c r="E526" s="167" t="s">
        <v>369</v>
      </c>
      <c r="F526" s="174"/>
      <c r="G526" s="176">
        <v>85.65</v>
      </c>
      <c r="H526" s="176">
        <f t="shared" si="0"/>
        <v>88.4</v>
      </c>
      <c r="I526" s="177"/>
      <c r="J526" s="150"/>
      <c r="K526" s="178">
        <v>43921</v>
      </c>
      <c r="L526" s="150" t="s">
        <v>427</v>
      </c>
      <c r="M526" s="99"/>
      <c r="N526" s="108" t="s">
        <v>427</v>
      </c>
    </row>
    <row r="527" spans="1:46" s="89" customFormat="1" ht="15.65" hidden="1" customHeight="1" x14ac:dyDescent="0.35">
      <c r="A527" s="188" t="s">
        <v>142</v>
      </c>
      <c r="B527" s="188"/>
      <c r="C527" s="181" t="s">
        <v>448</v>
      </c>
      <c r="D527" s="167" t="s">
        <v>427</v>
      </c>
      <c r="E527" s="167" t="s">
        <v>369</v>
      </c>
      <c r="F527" s="174"/>
      <c r="G527" s="117">
        <v>28.5</v>
      </c>
      <c r="H527" s="106">
        <v>31.25</v>
      </c>
      <c r="I527" s="99"/>
      <c r="J527" s="107" t="s">
        <v>449</v>
      </c>
      <c r="K527" s="107">
        <v>44196</v>
      </c>
      <c r="L527" s="189" t="s">
        <v>450</v>
      </c>
      <c r="M527" s="99" t="s">
        <v>451</v>
      </c>
      <c r="N527" s="108" t="s">
        <v>427</v>
      </c>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1"/>
      <c r="AS527" s="71"/>
      <c r="AT527" s="71"/>
    </row>
    <row r="528" spans="1:46" s="89" customFormat="1" ht="15.65" hidden="1" customHeight="1" x14ac:dyDescent="0.35">
      <c r="A528" s="188" t="s">
        <v>452</v>
      </c>
      <c r="B528" s="188"/>
      <c r="C528" s="169" t="s">
        <v>453</v>
      </c>
      <c r="D528" s="150" t="s">
        <v>427</v>
      </c>
      <c r="E528" s="150" t="s">
        <v>369</v>
      </c>
      <c r="F528" s="174"/>
      <c r="G528" s="117">
        <v>39</v>
      </c>
      <c r="H528" s="117">
        <f>G528+2.75</f>
        <v>41.75</v>
      </c>
      <c r="I528" s="190"/>
      <c r="J528" s="99" t="s">
        <v>432</v>
      </c>
      <c r="K528" s="107">
        <v>44377</v>
      </c>
      <c r="L528" s="169" t="s">
        <v>454</v>
      </c>
      <c r="M528" s="99"/>
      <c r="N528" s="108" t="s">
        <v>443</v>
      </c>
      <c r="O528" s="71"/>
      <c r="P528" s="71"/>
      <c r="Q528" s="71"/>
      <c r="R528" s="71"/>
      <c r="S528" s="71"/>
      <c r="T528" s="71"/>
      <c r="U528" s="71"/>
      <c r="V528" s="71"/>
      <c r="W528" s="71"/>
      <c r="X528" s="71"/>
      <c r="Y528" s="71"/>
      <c r="Z528" s="71"/>
      <c r="AA528" s="71"/>
      <c r="AB528" s="71"/>
      <c r="AC528" s="71"/>
      <c r="AD528" s="71"/>
      <c r="AE528" s="71"/>
      <c r="AF528" s="71"/>
      <c r="AG528" s="71"/>
      <c r="AH528" s="71"/>
      <c r="AI528" s="71"/>
      <c r="AJ528" s="71"/>
      <c r="AK528" s="71"/>
      <c r="AL528" s="71"/>
      <c r="AM528" s="71"/>
      <c r="AN528" s="71"/>
      <c r="AO528" s="71"/>
      <c r="AP528" s="71"/>
      <c r="AQ528" s="71"/>
      <c r="AR528" s="71"/>
      <c r="AS528" s="71"/>
      <c r="AT528" s="71"/>
    </row>
    <row r="529" spans="1:46" ht="15.65" hidden="1" customHeight="1" x14ac:dyDescent="0.35">
      <c r="A529" s="188" t="s">
        <v>146</v>
      </c>
      <c r="B529" s="188"/>
      <c r="C529" s="191" t="s">
        <v>455</v>
      </c>
      <c r="D529" s="192" t="s">
        <v>427</v>
      </c>
      <c r="E529" s="192" t="s">
        <v>369</v>
      </c>
      <c r="F529" s="174"/>
      <c r="G529" s="106">
        <v>40.85</v>
      </c>
      <c r="H529" s="117">
        <v>43.6</v>
      </c>
      <c r="I529" s="190"/>
      <c r="J529" s="99" t="s">
        <v>449</v>
      </c>
      <c r="K529" s="107">
        <v>44561</v>
      </c>
      <c r="L529" s="99"/>
      <c r="M529" s="99" t="s">
        <v>456</v>
      </c>
      <c r="N529" s="108" t="s">
        <v>457</v>
      </c>
    </row>
    <row r="530" spans="1:46" ht="15.65" hidden="1" customHeight="1" x14ac:dyDescent="0.35">
      <c r="A530" s="188" t="s">
        <v>146</v>
      </c>
      <c r="B530" s="188"/>
      <c r="C530" s="191" t="s">
        <v>455</v>
      </c>
      <c r="D530" s="192" t="s">
        <v>444</v>
      </c>
      <c r="E530" s="192" t="s">
        <v>369</v>
      </c>
      <c r="F530" s="174"/>
      <c r="G530" s="117">
        <v>42.9</v>
      </c>
      <c r="H530" s="117">
        <f t="shared" ref="H530:H536" si="1">G530+2.75</f>
        <v>45.65</v>
      </c>
      <c r="I530" s="190"/>
      <c r="J530" s="99" t="s">
        <v>449</v>
      </c>
      <c r="K530" s="107">
        <v>44926</v>
      </c>
      <c r="L530" s="99"/>
      <c r="M530" s="99" t="s">
        <v>456</v>
      </c>
      <c r="N530" s="108" t="s">
        <v>458</v>
      </c>
    </row>
    <row r="531" spans="1:46" ht="15.65" hidden="1" customHeight="1" x14ac:dyDescent="0.35">
      <c r="A531" s="175" t="s">
        <v>459</v>
      </c>
      <c r="B531" s="175"/>
      <c r="C531" s="167" t="s">
        <v>460</v>
      </c>
      <c r="D531" s="167" t="s">
        <v>427</v>
      </c>
      <c r="E531" s="167" t="s">
        <v>369</v>
      </c>
      <c r="F531" s="174"/>
      <c r="G531" s="176">
        <v>35.9</v>
      </c>
      <c r="H531" s="176">
        <f t="shared" si="1"/>
        <v>38.65</v>
      </c>
      <c r="I531" s="177"/>
      <c r="J531" s="150" t="s">
        <v>461</v>
      </c>
      <c r="K531" s="178">
        <v>43921</v>
      </c>
      <c r="L531" s="150" t="s">
        <v>427</v>
      </c>
      <c r="M531" s="99"/>
      <c r="N531" s="99" t="s">
        <v>427</v>
      </c>
    </row>
    <row r="532" spans="1:46" s="89" customFormat="1" ht="15.65" hidden="1" customHeight="1" x14ac:dyDescent="0.35">
      <c r="A532" s="180" t="s">
        <v>459</v>
      </c>
      <c r="B532" s="180"/>
      <c r="C532" s="181" t="s">
        <v>460</v>
      </c>
      <c r="D532" s="167" t="s">
        <v>444</v>
      </c>
      <c r="E532" s="170" t="s">
        <v>369</v>
      </c>
      <c r="F532" s="174"/>
      <c r="G532" s="171">
        <v>35.9</v>
      </c>
      <c r="H532" s="171">
        <f t="shared" si="1"/>
        <v>38.65</v>
      </c>
      <c r="I532" s="172"/>
      <c r="J532" s="99" t="s">
        <v>461</v>
      </c>
      <c r="K532" s="107">
        <v>44926</v>
      </c>
      <c r="L532" s="99"/>
      <c r="M532" s="99"/>
      <c r="N532" s="99" t="s">
        <v>418</v>
      </c>
      <c r="O532" s="71"/>
      <c r="P532" s="71"/>
      <c r="Q532" s="71"/>
      <c r="R532" s="71"/>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c r="AS532" s="71"/>
      <c r="AT532" s="71"/>
    </row>
    <row r="533" spans="1:46" s="89" customFormat="1" ht="15.65" hidden="1" customHeight="1" x14ac:dyDescent="0.35">
      <c r="A533" s="180" t="s">
        <v>157</v>
      </c>
      <c r="B533" s="180"/>
      <c r="C533" s="181" t="s">
        <v>462</v>
      </c>
      <c r="D533" s="167" t="s">
        <v>427</v>
      </c>
      <c r="E533" s="167" t="s">
        <v>369</v>
      </c>
      <c r="F533" s="174"/>
      <c r="G533" s="171">
        <v>58</v>
      </c>
      <c r="H533" s="171">
        <f t="shared" si="1"/>
        <v>60.75</v>
      </c>
      <c r="I533" s="172"/>
      <c r="J533" s="99" t="s">
        <v>432</v>
      </c>
      <c r="K533" s="107">
        <v>44561</v>
      </c>
      <c r="L533" s="169"/>
      <c r="M533" s="99" t="s">
        <v>20</v>
      </c>
      <c r="N533" s="99" t="s">
        <v>433</v>
      </c>
      <c r="O533" s="71"/>
      <c r="P533" s="71"/>
      <c r="Q533" s="71"/>
      <c r="R533" s="71"/>
      <c r="S533" s="71"/>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c r="AR533" s="71"/>
      <c r="AS533" s="71"/>
      <c r="AT533" s="71"/>
    </row>
    <row r="534" spans="1:46" s="89" customFormat="1" ht="15.65" hidden="1" customHeight="1" x14ac:dyDescent="0.35">
      <c r="A534" s="180" t="s">
        <v>157</v>
      </c>
      <c r="B534" s="180"/>
      <c r="C534" s="181" t="s">
        <v>462</v>
      </c>
      <c r="D534" s="167" t="s">
        <v>427</v>
      </c>
      <c r="E534" s="167" t="s">
        <v>369</v>
      </c>
      <c r="F534" s="174"/>
      <c r="G534" s="171">
        <v>74.41</v>
      </c>
      <c r="H534" s="171">
        <f t="shared" si="1"/>
        <v>77.16</v>
      </c>
      <c r="I534" s="172"/>
      <c r="J534" s="99" t="s">
        <v>432</v>
      </c>
      <c r="K534" s="107">
        <v>43993</v>
      </c>
      <c r="L534" s="169" t="s">
        <v>463</v>
      </c>
      <c r="M534" s="99" t="s">
        <v>20</v>
      </c>
      <c r="N534" s="99" t="s">
        <v>427</v>
      </c>
      <c r="O534" s="71"/>
      <c r="P534" s="71"/>
      <c r="Q534" s="71"/>
      <c r="R534" s="71"/>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c r="AS534" s="71"/>
      <c r="AT534" s="71"/>
    </row>
    <row r="535" spans="1:46" s="89" customFormat="1" ht="15.65" hidden="1" customHeight="1" x14ac:dyDescent="0.35">
      <c r="A535" s="183" t="s">
        <v>157</v>
      </c>
      <c r="B535" s="183"/>
      <c r="C535" s="194" t="s">
        <v>462</v>
      </c>
      <c r="D535" s="195" t="s">
        <v>444</v>
      </c>
      <c r="E535" s="168" t="s">
        <v>369</v>
      </c>
      <c r="F535" s="174"/>
      <c r="G535" s="196">
        <v>58</v>
      </c>
      <c r="H535" s="196">
        <f t="shared" si="1"/>
        <v>60.75</v>
      </c>
      <c r="I535" s="197"/>
      <c r="J535" s="198" t="s">
        <v>432</v>
      </c>
      <c r="K535" s="199">
        <v>44651</v>
      </c>
      <c r="L535" s="200" t="s">
        <v>464</v>
      </c>
      <c r="M535" s="99" t="s">
        <v>20</v>
      </c>
      <c r="N535" s="99" t="s">
        <v>443</v>
      </c>
      <c r="O535" s="71"/>
      <c r="P535" s="71"/>
      <c r="Q535" s="71"/>
      <c r="R535" s="71"/>
      <c r="S535" s="71"/>
      <c r="T535" s="71"/>
      <c r="U535" s="71"/>
      <c r="V535" s="71"/>
      <c r="W535" s="71"/>
      <c r="X535" s="71"/>
      <c r="Y535" s="71"/>
      <c r="Z535" s="71"/>
      <c r="AA535" s="71"/>
      <c r="AB535" s="71"/>
      <c r="AC535" s="71"/>
      <c r="AD535" s="71"/>
      <c r="AE535" s="71"/>
      <c r="AF535" s="71"/>
      <c r="AG535" s="71"/>
      <c r="AH535" s="71"/>
      <c r="AI535" s="71"/>
      <c r="AJ535" s="71"/>
      <c r="AK535" s="71"/>
      <c r="AL535" s="71"/>
      <c r="AM535" s="71"/>
      <c r="AN535" s="71"/>
      <c r="AO535" s="71"/>
      <c r="AP535" s="71"/>
      <c r="AQ535" s="71"/>
      <c r="AR535" s="71"/>
      <c r="AS535" s="71"/>
      <c r="AT535" s="71"/>
    </row>
    <row r="536" spans="1:46" s="89" customFormat="1" ht="15.65" hidden="1" customHeight="1" x14ac:dyDescent="0.35">
      <c r="A536" s="183" t="s">
        <v>157</v>
      </c>
      <c r="B536" s="183"/>
      <c r="C536" s="194" t="s">
        <v>462</v>
      </c>
      <c r="D536" s="195" t="s">
        <v>465</v>
      </c>
      <c r="E536" s="168" t="s">
        <v>369</v>
      </c>
      <c r="F536" s="174"/>
      <c r="G536" s="196">
        <v>47.4</v>
      </c>
      <c r="H536" s="196">
        <f t="shared" si="1"/>
        <v>50.15</v>
      </c>
      <c r="I536" s="197"/>
      <c r="J536" s="198" t="s">
        <v>428</v>
      </c>
      <c r="K536" s="199">
        <v>44926</v>
      </c>
      <c r="L536" s="200" t="s">
        <v>466</v>
      </c>
      <c r="M536" s="99" t="s">
        <v>20</v>
      </c>
      <c r="N536" s="99" t="s">
        <v>443</v>
      </c>
      <c r="O536" s="71"/>
      <c r="P536" s="71"/>
      <c r="Q536" s="71"/>
      <c r="R536" s="71"/>
      <c r="S536" s="71"/>
      <c r="T536" s="71"/>
      <c r="U536" s="71"/>
      <c r="V536" s="71"/>
      <c r="W536" s="71"/>
      <c r="X536" s="71"/>
      <c r="Y536" s="71"/>
      <c r="Z536" s="71"/>
      <c r="AA536" s="71"/>
      <c r="AB536" s="71"/>
      <c r="AC536" s="71"/>
      <c r="AD536" s="71"/>
      <c r="AE536" s="71"/>
      <c r="AF536" s="71"/>
      <c r="AG536" s="71"/>
      <c r="AH536" s="71"/>
      <c r="AI536" s="71"/>
      <c r="AJ536" s="71"/>
      <c r="AK536" s="71"/>
      <c r="AL536" s="71"/>
      <c r="AM536" s="71"/>
      <c r="AN536" s="71"/>
      <c r="AO536" s="71"/>
      <c r="AP536" s="71"/>
      <c r="AQ536" s="71"/>
      <c r="AR536" s="71"/>
      <c r="AS536" s="71"/>
      <c r="AT536" s="71"/>
    </row>
    <row r="537" spans="1:46" s="89" customFormat="1" ht="15.65" hidden="1" customHeight="1" x14ac:dyDescent="0.35">
      <c r="A537" s="188" t="s">
        <v>467</v>
      </c>
      <c r="B537" s="188"/>
      <c r="C537" s="169" t="s">
        <v>462</v>
      </c>
      <c r="D537" s="170" t="s">
        <v>427</v>
      </c>
      <c r="E537" s="170" t="s">
        <v>369</v>
      </c>
      <c r="F537" s="174"/>
      <c r="G537" s="117">
        <v>42</v>
      </c>
      <c r="H537" s="106">
        <v>44.75</v>
      </c>
      <c r="I537" s="99"/>
      <c r="J537" s="170" t="s">
        <v>468</v>
      </c>
      <c r="K537" s="107">
        <v>44316</v>
      </c>
      <c r="L537" s="169" t="s">
        <v>469</v>
      </c>
      <c r="M537" s="99" t="s">
        <v>20</v>
      </c>
      <c r="N537" s="108" t="s">
        <v>443</v>
      </c>
      <c r="O537" s="71"/>
      <c r="P537" s="71"/>
      <c r="Q537" s="71"/>
      <c r="R537" s="71"/>
      <c r="S537" s="71"/>
      <c r="T537" s="71"/>
      <c r="U537" s="71"/>
      <c r="V537" s="71"/>
      <c r="W537" s="71"/>
      <c r="X537" s="71"/>
      <c r="Y537" s="71"/>
      <c r="Z537" s="71"/>
      <c r="AA537" s="71"/>
      <c r="AB537" s="71"/>
      <c r="AC537" s="71"/>
      <c r="AD537" s="71"/>
      <c r="AE537" s="71"/>
      <c r="AF537" s="71"/>
      <c r="AG537" s="71"/>
      <c r="AH537" s="71"/>
      <c r="AI537" s="71"/>
      <c r="AJ537" s="71"/>
      <c r="AK537" s="71"/>
      <c r="AL537" s="71"/>
      <c r="AM537" s="71"/>
      <c r="AN537" s="71"/>
      <c r="AO537" s="71"/>
      <c r="AP537" s="71"/>
      <c r="AQ537" s="71"/>
      <c r="AR537" s="71"/>
      <c r="AS537" s="71"/>
      <c r="AT537" s="71"/>
    </row>
    <row r="538" spans="1:46" s="89" customFormat="1" ht="15.65" hidden="1" customHeight="1" x14ac:dyDescent="0.35">
      <c r="A538" s="188" t="s">
        <v>467</v>
      </c>
      <c r="B538" s="188"/>
      <c r="C538" s="169" t="s">
        <v>462</v>
      </c>
      <c r="D538" s="170" t="s">
        <v>427</v>
      </c>
      <c r="E538" s="170" t="s">
        <v>369</v>
      </c>
      <c r="F538" s="174"/>
      <c r="G538" s="117">
        <v>42</v>
      </c>
      <c r="H538" s="106">
        <v>44.75</v>
      </c>
      <c r="I538" s="99"/>
      <c r="J538" s="99" t="s">
        <v>449</v>
      </c>
      <c r="K538" s="107">
        <v>44377</v>
      </c>
      <c r="L538" s="169" t="s">
        <v>470</v>
      </c>
      <c r="M538" s="99" t="s">
        <v>20</v>
      </c>
      <c r="N538" s="108" t="s">
        <v>443</v>
      </c>
      <c r="O538" s="71"/>
      <c r="P538" s="71"/>
      <c r="Q538" s="71"/>
      <c r="R538" s="71"/>
      <c r="S538" s="71"/>
      <c r="T538" s="71"/>
      <c r="U538" s="71"/>
      <c r="V538" s="71"/>
      <c r="W538" s="71"/>
      <c r="X538" s="71"/>
      <c r="Y538" s="71"/>
      <c r="Z538" s="71"/>
      <c r="AA538" s="71"/>
      <c r="AB538" s="71"/>
      <c r="AC538" s="71"/>
      <c r="AD538" s="71"/>
      <c r="AE538" s="71"/>
      <c r="AF538" s="71"/>
      <c r="AG538" s="71"/>
      <c r="AH538" s="71"/>
      <c r="AI538" s="71"/>
      <c r="AJ538" s="71"/>
      <c r="AK538" s="71"/>
      <c r="AL538" s="71"/>
      <c r="AM538" s="71"/>
      <c r="AN538" s="71"/>
      <c r="AO538" s="71"/>
      <c r="AP538" s="71"/>
      <c r="AQ538" s="71"/>
      <c r="AR538" s="71"/>
      <c r="AS538" s="71"/>
      <c r="AT538" s="71"/>
    </row>
    <row r="539" spans="1:46" s="89" customFormat="1" ht="15.65" hidden="1" customHeight="1" x14ac:dyDescent="0.35">
      <c r="A539" s="188" t="s">
        <v>467</v>
      </c>
      <c r="B539" s="188"/>
      <c r="C539" s="169" t="s">
        <v>462</v>
      </c>
      <c r="D539" s="170" t="s">
        <v>444</v>
      </c>
      <c r="E539" s="170" t="s">
        <v>369</v>
      </c>
      <c r="F539" s="174"/>
      <c r="G539" s="117">
        <v>48.7</v>
      </c>
      <c r="H539" s="117">
        <f>G539+2.75</f>
        <v>51.45</v>
      </c>
      <c r="I539" s="99"/>
      <c r="J539" s="99" t="s">
        <v>449</v>
      </c>
      <c r="K539" s="107">
        <v>44926</v>
      </c>
      <c r="L539" s="169"/>
      <c r="M539" s="99" t="s">
        <v>20</v>
      </c>
      <c r="N539" s="108" t="s">
        <v>458</v>
      </c>
      <c r="O539" s="71"/>
      <c r="P539" s="71"/>
      <c r="Q539" s="71"/>
      <c r="R539" s="71"/>
      <c r="S539" s="71"/>
      <c r="T539" s="71"/>
      <c r="U539" s="71"/>
      <c r="V539" s="71"/>
      <c r="W539" s="71"/>
      <c r="X539" s="71"/>
      <c r="Y539" s="71"/>
      <c r="Z539" s="71"/>
      <c r="AA539" s="71"/>
      <c r="AB539" s="71"/>
      <c r="AC539" s="71"/>
      <c r="AD539" s="71"/>
      <c r="AE539" s="71"/>
      <c r="AF539" s="71"/>
      <c r="AG539" s="71"/>
      <c r="AH539" s="71"/>
      <c r="AI539" s="71"/>
      <c r="AJ539" s="71"/>
      <c r="AK539" s="71"/>
      <c r="AL539" s="71"/>
      <c r="AM539" s="71"/>
      <c r="AN539" s="71"/>
      <c r="AO539" s="71"/>
      <c r="AP539" s="71"/>
      <c r="AQ539" s="71"/>
      <c r="AR539" s="71"/>
      <c r="AS539" s="71"/>
      <c r="AT539" s="71"/>
    </row>
    <row r="540" spans="1:46" s="89" customFormat="1" ht="15.65" hidden="1" customHeight="1" x14ac:dyDescent="0.35">
      <c r="A540" s="188" t="s">
        <v>467</v>
      </c>
      <c r="B540" s="188"/>
      <c r="C540" s="169" t="s">
        <v>462</v>
      </c>
      <c r="D540" s="170" t="s">
        <v>444</v>
      </c>
      <c r="E540" s="170" t="s">
        <v>369</v>
      </c>
      <c r="F540" s="174"/>
      <c r="G540" s="117">
        <v>43.25</v>
      </c>
      <c r="H540" s="117">
        <f>G540+2.75</f>
        <v>46</v>
      </c>
      <c r="I540" s="99"/>
      <c r="J540" s="99" t="s">
        <v>437</v>
      </c>
      <c r="K540" s="107">
        <v>44926</v>
      </c>
      <c r="L540" s="169" t="s">
        <v>471</v>
      </c>
      <c r="M540" s="99" t="s">
        <v>20</v>
      </c>
      <c r="N540" s="108" t="s">
        <v>439</v>
      </c>
      <c r="O540" s="71"/>
      <c r="P540" s="71"/>
      <c r="Q540" s="71"/>
      <c r="R540" s="71"/>
      <c r="S540" s="71"/>
      <c r="T540" s="71"/>
      <c r="U540" s="71"/>
      <c r="V540" s="71"/>
      <c r="W540" s="71"/>
      <c r="X540" s="71"/>
      <c r="Y540" s="71"/>
      <c r="Z540" s="71"/>
      <c r="AA540" s="71"/>
      <c r="AB540" s="71"/>
      <c r="AC540" s="71"/>
      <c r="AD540" s="71"/>
      <c r="AE540" s="71"/>
      <c r="AF540" s="71"/>
      <c r="AG540" s="71"/>
      <c r="AH540" s="71"/>
      <c r="AI540" s="71"/>
      <c r="AJ540" s="71"/>
      <c r="AK540" s="71"/>
      <c r="AL540" s="71"/>
      <c r="AM540" s="71"/>
      <c r="AN540" s="71"/>
      <c r="AO540" s="71"/>
      <c r="AP540" s="71"/>
      <c r="AQ540" s="71"/>
      <c r="AR540" s="71"/>
      <c r="AS540" s="71"/>
      <c r="AT540" s="71"/>
    </row>
    <row r="541" spans="1:46" s="89" customFormat="1" ht="15.65" hidden="1" customHeight="1" x14ac:dyDescent="0.35">
      <c r="A541" s="188" t="s">
        <v>472</v>
      </c>
      <c r="B541" s="188"/>
      <c r="C541" s="181" t="s">
        <v>473</v>
      </c>
      <c r="D541" s="167" t="s">
        <v>474</v>
      </c>
      <c r="E541" s="167" t="s">
        <v>369</v>
      </c>
      <c r="F541" s="174"/>
      <c r="G541" s="106">
        <v>41.25</v>
      </c>
      <c r="H541" s="117">
        <f>G541+2.75</f>
        <v>44</v>
      </c>
      <c r="I541" s="190"/>
      <c r="J541" s="99" t="s">
        <v>449</v>
      </c>
      <c r="K541" s="107">
        <v>44196</v>
      </c>
      <c r="L541" s="99"/>
      <c r="M541" s="99"/>
      <c r="N541" s="99" t="s">
        <v>429</v>
      </c>
      <c r="O541" s="71"/>
      <c r="P541" s="71"/>
      <c r="Q541" s="71"/>
      <c r="R541" s="71"/>
      <c r="S541" s="71"/>
      <c r="T541" s="71"/>
      <c r="U541" s="71"/>
      <c r="V541" s="71"/>
      <c r="W541" s="71"/>
      <c r="X541" s="71"/>
      <c r="Y541" s="71"/>
      <c r="Z541" s="71"/>
      <c r="AA541" s="71"/>
      <c r="AB541" s="71"/>
      <c r="AC541" s="71"/>
      <c r="AD541" s="71"/>
      <c r="AE541" s="71"/>
      <c r="AF541" s="71"/>
      <c r="AG541" s="71"/>
      <c r="AH541" s="71"/>
      <c r="AI541" s="71"/>
      <c r="AJ541" s="71"/>
      <c r="AK541" s="71"/>
      <c r="AL541" s="71"/>
      <c r="AM541" s="71"/>
      <c r="AN541" s="71"/>
      <c r="AO541" s="71"/>
      <c r="AP541" s="71"/>
      <c r="AQ541" s="71"/>
      <c r="AR541" s="71"/>
      <c r="AS541" s="71"/>
      <c r="AT541" s="71"/>
    </row>
    <row r="542" spans="1:46" s="89" customFormat="1" ht="15.65" hidden="1" customHeight="1" x14ac:dyDescent="0.35">
      <c r="A542" s="188" t="s">
        <v>472</v>
      </c>
      <c r="B542" s="188"/>
      <c r="C542" s="99" t="s">
        <v>473</v>
      </c>
      <c r="D542" s="150" t="s">
        <v>444</v>
      </c>
      <c r="E542" s="167" t="s">
        <v>369</v>
      </c>
      <c r="F542" s="174"/>
      <c r="G542" s="106">
        <v>41.78</v>
      </c>
      <c r="H542" s="117">
        <f>G542+2.75</f>
        <v>44.53</v>
      </c>
      <c r="I542" s="99"/>
      <c r="J542" s="99" t="s">
        <v>437</v>
      </c>
      <c r="K542" s="107">
        <v>44926</v>
      </c>
      <c r="L542" s="169" t="s">
        <v>471</v>
      </c>
      <c r="M542" s="99"/>
      <c r="N542" s="108" t="s">
        <v>443</v>
      </c>
      <c r="O542" s="71"/>
      <c r="P542" s="71"/>
      <c r="Q542" s="71"/>
      <c r="R542" s="71"/>
      <c r="S542" s="71"/>
      <c r="T542" s="71"/>
      <c r="U542" s="71"/>
      <c r="V542" s="71"/>
      <c r="W542" s="71"/>
      <c r="X542" s="71"/>
      <c r="Y542" s="71"/>
      <c r="Z542" s="71"/>
      <c r="AA542" s="71"/>
      <c r="AB542" s="71"/>
      <c r="AC542" s="71"/>
      <c r="AD542" s="71"/>
      <c r="AE542" s="71"/>
      <c r="AF542" s="71"/>
      <c r="AG542" s="71"/>
      <c r="AH542" s="71"/>
      <c r="AI542" s="71"/>
      <c r="AJ542" s="71"/>
      <c r="AK542" s="71"/>
      <c r="AL542" s="71"/>
      <c r="AM542" s="71"/>
      <c r="AN542" s="71"/>
      <c r="AO542" s="71"/>
      <c r="AP542" s="71"/>
      <c r="AQ542" s="71"/>
      <c r="AR542" s="71"/>
      <c r="AS542" s="71"/>
      <c r="AT542" s="71"/>
    </row>
    <row r="543" spans="1:46" s="89" customFormat="1" ht="15.65" hidden="1" customHeight="1" x14ac:dyDescent="0.35">
      <c r="A543" s="188" t="s">
        <v>475</v>
      </c>
      <c r="B543" s="188"/>
      <c r="C543" s="99" t="s">
        <v>476</v>
      </c>
      <c r="D543" s="150" t="s">
        <v>427</v>
      </c>
      <c r="E543" s="150" t="s">
        <v>369</v>
      </c>
      <c r="F543" s="174"/>
      <c r="G543" s="106">
        <v>51.39</v>
      </c>
      <c r="H543" s="106">
        <v>54.14</v>
      </c>
      <c r="I543" s="99"/>
      <c r="J543" s="99" t="s">
        <v>477</v>
      </c>
      <c r="K543" s="107">
        <v>44377</v>
      </c>
      <c r="L543" s="169" t="s">
        <v>478</v>
      </c>
      <c r="M543" s="99"/>
      <c r="N543" s="108" t="s">
        <v>443</v>
      </c>
      <c r="O543" s="71"/>
      <c r="P543" s="71"/>
      <c r="Q543" s="71"/>
      <c r="R543" s="71"/>
      <c r="S543" s="71"/>
      <c r="T543" s="71"/>
      <c r="U543" s="71"/>
      <c r="V543" s="71"/>
      <c r="W543" s="71"/>
      <c r="X543" s="71"/>
      <c r="Y543" s="71"/>
      <c r="Z543" s="71"/>
      <c r="AA543" s="71"/>
      <c r="AB543" s="71"/>
      <c r="AC543" s="71"/>
      <c r="AD543" s="71"/>
      <c r="AE543" s="71"/>
      <c r="AF543" s="71"/>
      <c r="AG543" s="71"/>
      <c r="AH543" s="71"/>
      <c r="AI543" s="71"/>
      <c r="AJ543" s="71"/>
      <c r="AK543" s="71"/>
      <c r="AL543" s="71"/>
      <c r="AM543" s="71"/>
      <c r="AN543" s="71"/>
      <c r="AO543" s="71"/>
      <c r="AP543" s="71"/>
      <c r="AQ543" s="71"/>
      <c r="AR543" s="71"/>
      <c r="AS543" s="71"/>
      <c r="AT543" s="71"/>
    </row>
    <row r="544" spans="1:46" s="89" customFormat="1" ht="15.65" hidden="1" customHeight="1" x14ac:dyDescent="0.35">
      <c r="A544" s="188" t="s">
        <v>475</v>
      </c>
      <c r="B544" s="188"/>
      <c r="C544" s="99" t="s">
        <v>476</v>
      </c>
      <c r="D544" s="150" t="s">
        <v>444</v>
      </c>
      <c r="E544" s="167" t="s">
        <v>369</v>
      </c>
      <c r="F544" s="174"/>
      <c r="G544" s="106">
        <v>51.39</v>
      </c>
      <c r="H544" s="106">
        <v>54.14</v>
      </c>
      <c r="I544" s="99"/>
      <c r="J544" s="99" t="s">
        <v>477</v>
      </c>
      <c r="K544" s="107">
        <v>44926</v>
      </c>
      <c r="L544" s="169"/>
      <c r="M544" s="99"/>
      <c r="N544" s="108" t="s">
        <v>418</v>
      </c>
      <c r="O544" s="71"/>
      <c r="P544" s="71"/>
      <c r="Q544" s="71"/>
      <c r="R544" s="71"/>
      <c r="S544" s="71"/>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c r="AR544" s="71"/>
      <c r="AS544" s="71"/>
      <c r="AT544" s="71"/>
    </row>
    <row r="545" spans="1:46" ht="15.65" hidden="1" customHeight="1" x14ac:dyDescent="0.35">
      <c r="A545" s="183" t="s">
        <v>479</v>
      </c>
      <c r="B545" s="183"/>
      <c r="C545" s="194" t="s">
        <v>480</v>
      </c>
      <c r="D545" s="195" t="s">
        <v>427</v>
      </c>
      <c r="E545" s="195" t="s">
        <v>369</v>
      </c>
      <c r="F545" s="174"/>
      <c r="G545" s="196">
        <v>53.9</v>
      </c>
      <c r="H545" s="196">
        <f t="shared" ref="H545:H550" si="2">G545+2.75</f>
        <v>56.65</v>
      </c>
      <c r="I545" s="197"/>
      <c r="J545" s="198" t="s">
        <v>428</v>
      </c>
      <c r="K545" s="199">
        <v>44196</v>
      </c>
      <c r="L545" s="198"/>
      <c r="M545" s="99" t="s">
        <v>104</v>
      </c>
      <c r="N545" s="99" t="s">
        <v>429</v>
      </c>
    </row>
    <row r="546" spans="1:46" ht="15.65" hidden="1" customHeight="1" x14ac:dyDescent="0.35">
      <c r="A546" s="188" t="s">
        <v>479</v>
      </c>
      <c r="B546" s="188"/>
      <c r="C546" s="191" t="s">
        <v>481</v>
      </c>
      <c r="D546" s="192" t="s">
        <v>427</v>
      </c>
      <c r="E546" s="192" t="s">
        <v>369</v>
      </c>
      <c r="F546" s="174"/>
      <c r="G546" s="106">
        <v>48.5</v>
      </c>
      <c r="H546" s="106">
        <f t="shared" si="2"/>
        <v>51.25</v>
      </c>
      <c r="I546" s="99"/>
      <c r="J546" s="99" t="s">
        <v>449</v>
      </c>
      <c r="K546" s="107">
        <v>44196</v>
      </c>
      <c r="L546" s="99"/>
      <c r="M546" s="99" t="s">
        <v>456</v>
      </c>
      <c r="N546" s="99" t="s">
        <v>429</v>
      </c>
    </row>
    <row r="547" spans="1:46" s="89" customFormat="1" ht="15.65" hidden="1" customHeight="1" x14ac:dyDescent="0.35">
      <c r="A547" s="188" t="s">
        <v>479</v>
      </c>
      <c r="B547" s="188"/>
      <c r="C547" s="99" t="s">
        <v>481</v>
      </c>
      <c r="D547" s="150" t="s">
        <v>427</v>
      </c>
      <c r="E547" s="150" t="s">
        <v>369</v>
      </c>
      <c r="F547" s="174"/>
      <c r="G547" s="117">
        <v>32.799999999999997</v>
      </c>
      <c r="H547" s="117">
        <f t="shared" si="2"/>
        <v>35.549999999999997</v>
      </c>
      <c r="I547" s="99"/>
      <c r="J547" s="99" t="s">
        <v>482</v>
      </c>
      <c r="K547" s="107">
        <v>44561</v>
      </c>
      <c r="L547" s="189" t="s">
        <v>483</v>
      </c>
      <c r="M547" s="99" t="s">
        <v>104</v>
      </c>
      <c r="N547" s="108" t="s">
        <v>443</v>
      </c>
      <c r="O547" s="71"/>
      <c r="P547" s="71"/>
      <c r="Q547" s="71"/>
      <c r="R547" s="71"/>
      <c r="S547" s="71"/>
      <c r="T547" s="71"/>
      <c r="U547" s="71"/>
      <c r="V547" s="71"/>
      <c r="W547" s="71"/>
      <c r="X547" s="71"/>
      <c r="Y547" s="71"/>
      <c r="Z547" s="71"/>
      <c r="AA547" s="71"/>
      <c r="AB547" s="71"/>
      <c r="AC547" s="71"/>
      <c r="AD547" s="71"/>
      <c r="AE547" s="71"/>
      <c r="AF547" s="71"/>
      <c r="AG547" s="71"/>
      <c r="AH547" s="71"/>
      <c r="AI547" s="71"/>
      <c r="AJ547" s="71"/>
      <c r="AK547" s="71"/>
      <c r="AL547" s="71"/>
      <c r="AM547" s="71"/>
      <c r="AN547" s="71"/>
      <c r="AO547" s="71"/>
      <c r="AP547" s="71"/>
      <c r="AQ547" s="71"/>
      <c r="AR547" s="71"/>
      <c r="AS547" s="71"/>
      <c r="AT547" s="71"/>
    </row>
    <row r="548" spans="1:46" s="89" customFormat="1" ht="15.65" hidden="1" customHeight="1" x14ac:dyDescent="0.35">
      <c r="A548" s="183" t="s">
        <v>479</v>
      </c>
      <c r="B548" s="183"/>
      <c r="C548" s="194" t="s">
        <v>480</v>
      </c>
      <c r="D548" s="195" t="s">
        <v>444</v>
      </c>
      <c r="E548" s="167" t="s">
        <v>369</v>
      </c>
      <c r="F548" s="174"/>
      <c r="G548" s="196">
        <v>49.71</v>
      </c>
      <c r="H548" s="196">
        <f t="shared" si="2"/>
        <v>52.46</v>
      </c>
      <c r="I548" s="197"/>
      <c r="J548" s="198" t="s">
        <v>428</v>
      </c>
      <c r="K548" s="199">
        <v>44926</v>
      </c>
      <c r="L548" s="198"/>
      <c r="M548" s="99"/>
      <c r="N548" s="99" t="s">
        <v>418</v>
      </c>
      <c r="O548" s="71"/>
      <c r="P548" s="71"/>
      <c r="Q548" s="71"/>
      <c r="R548" s="71"/>
      <c r="S548" s="71"/>
      <c r="T548" s="71"/>
      <c r="U548" s="71"/>
      <c r="V548" s="71"/>
      <c r="W548" s="71"/>
      <c r="X548" s="71"/>
      <c r="Y548" s="71"/>
      <c r="Z548" s="71"/>
      <c r="AA548" s="71"/>
      <c r="AB548" s="71"/>
      <c r="AC548" s="71"/>
      <c r="AD548" s="71"/>
      <c r="AE548" s="71"/>
      <c r="AF548" s="71"/>
      <c r="AG548" s="71"/>
      <c r="AH548" s="71"/>
      <c r="AI548" s="71"/>
      <c r="AJ548" s="71"/>
      <c r="AK548" s="71"/>
      <c r="AL548" s="71"/>
      <c r="AM548" s="71"/>
      <c r="AN548" s="71"/>
      <c r="AO548" s="71"/>
      <c r="AP548" s="71"/>
      <c r="AQ548" s="71"/>
      <c r="AR548" s="71"/>
      <c r="AS548" s="71"/>
      <c r="AT548" s="71"/>
    </row>
    <row r="549" spans="1:46" s="89" customFormat="1" ht="15.65" hidden="1" customHeight="1" x14ac:dyDescent="0.35">
      <c r="A549" s="188" t="s">
        <v>479</v>
      </c>
      <c r="B549" s="188"/>
      <c r="C549" s="191" t="s">
        <v>481</v>
      </c>
      <c r="D549" s="192" t="s">
        <v>465</v>
      </c>
      <c r="E549" s="167" t="s">
        <v>369</v>
      </c>
      <c r="F549" s="174"/>
      <c r="G549" s="106">
        <v>49.71</v>
      </c>
      <c r="H549" s="106">
        <f t="shared" si="2"/>
        <v>52.46</v>
      </c>
      <c r="I549" s="99"/>
      <c r="J549" s="99" t="s">
        <v>449</v>
      </c>
      <c r="K549" s="107">
        <v>44926</v>
      </c>
      <c r="L549" s="99"/>
      <c r="M549" s="99"/>
      <c r="N549" s="99" t="s">
        <v>418</v>
      </c>
      <c r="O549" s="71"/>
      <c r="P549" s="71"/>
      <c r="Q549" s="71"/>
      <c r="R549" s="71"/>
      <c r="S549" s="71"/>
      <c r="T549" s="71"/>
      <c r="U549" s="71"/>
      <c r="V549" s="71"/>
      <c r="W549" s="71"/>
      <c r="X549" s="71"/>
      <c r="Y549" s="71"/>
      <c r="Z549" s="71"/>
      <c r="AA549" s="71"/>
      <c r="AB549" s="71"/>
      <c r="AC549" s="71"/>
      <c r="AD549" s="71"/>
      <c r="AE549" s="71"/>
      <c r="AF549" s="71"/>
      <c r="AG549" s="71"/>
      <c r="AH549" s="71"/>
      <c r="AI549" s="71"/>
      <c r="AJ549" s="71"/>
      <c r="AK549" s="71"/>
      <c r="AL549" s="71"/>
      <c r="AM549" s="71"/>
      <c r="AN549" s="71"/>
      <c r="AO549" s="71"/>
      <c r="AP549" s="71"/>
      <c r="AQ549" s="71"/>
      <c r="AR549" s="71"/>
      <c r="AS549" s="71"/>
      <c r="AT549" s="71"/>
    </row>
    <row r="550" spans="1:46" s="89" customFormat="1" ht="15.65" hidden="1" customHeight="1" x14ac:dyDescent="0.35">
      <c r="A550" s="188" t="s">
        <v>479</v>
      </c>
      <c r="B550" s="188"/>
      <c r="C550" s="191" t="s">
        <v>481</v>
      </c>
      <c r="D550" s="192" t="s">
        <v>465</v>
      </c>
      <c r="E550" s="167" t="s">
        <v>369</v>
      </c>
      <c r="F550" s="174"/>
      <c r="G550" s="106">
        <v>48.72</v>
      </c>
      <c r="H550" s="106">
        <f t="shared" si="2"/>
        <v>51.47</v>
      </c>
      <c r="I550" s="99"/>
      <c r="J550" s="99" t="s">
        <v>437</v>
      </c>
      <c r="K550" s="107">
        <v>44926</v>
      </c>
      <c r="L550" s="169" t="s">
        <v>471</v>
      </c>
      <c r="M550" s="99"/>
      <c r="N550" s="99" t="s">
        <v>443</v>
      </c>
      <c r="O550" s="71"/>
      <c r="P550" s="71"/>
      <c r="Q550" s="71"/>
      <c r="R550" s="71"/>
      <c r="S550" s="71"/>
      <c r="T550" s="71"/>
      <c r="U550" s="71"/>
      <c r="V550" s="71"/>
      <c r="W550" s="71"/>
      <c r="X550" s="71"/>
      <c r="Y550" s="71"/>
      <c r="Z550" s="71"/>
      <c r="AA550" s="71"/>
      <c r="AB550" s="71"/>
      <c r="AC550" s="71"/>
      <c r="AD550" s="71"/>
      <c r="AE550" s="71"/>
      <c r="AF550" s="71"/>
      <c r="AG550" s="71"/>
      <c r="AH550" s="71"/>
      <c r="AI550" s="71"/>
      <c r="AJ550" s="71"/>
      <c r="AK550" s="71"/>
      <c r="AL550" s="71"/>
      <c r="AM550" s="71"/>
      <c r="AN550" s="71"/>
      <c r="AO550" s="71"/>
      <c r="AP550" s="71"/>
      <c r="AQ550" s="71"/>
      <c r="AR550" s="71"/>
      <c r="AS550" s="71"/>
      <c r="AT550" s="71"/>
    </row>
    <row r="551" spans="1:46" s="89" customFormat="1" ht="15.65" hidden="1" customHeight="1" x14ac:dyDescent="0.35">
      <c r="A551" s="188" t="s">
        <v>484</v>
      </c>
      <c r="B551" s="188"/>
      <c r="C551" s="169" t="s">
        <v>485</v>
      </c>
      <c r="D551" s="150" t="s">
        <v>427</v>
      </c>
      <c r="E551" s="167" t="s">
        <v>369</v>
      </c>
      <c r="F551" s="174"/>
      <c r="G551" s="106">
        <v>66.81</v>
      </c>
      <c r="H551" s="106">
        <v>69.56</v>
      </c>
      <c r="I551" s="99"/>
      <c r="J551" s="99" t="s">
        <v>477</v>
      </c>
      <c r="K551" s="107">
        <v>44377</v>
      </c>
      <c r="L551" s="169" t="s">
        <v>486</v>
      </c>
      <c r="M551" s="99"/>
      <c r="N551" s="108" t="s">
        <v>443</v>
      </c>
      <c r="O551" s="71"/>
      <c r="P551" s="71"/>
      <c r="Q551" s="71"/>
      <c r="R551" s="71"/>
      <c r="S551" s="71"/>
      <c r="T551" s="71"/>
      <c r="U551" s="71"/>
      <c r="V551" s="71"/>
      <c r="W551" s="71"/>
      <c r="X551" s="71"/>
      <c r="Y551" s="71"/>
      <c r="Z551" s="71"/>
      <c r="AA551" s="71"/>
      <c r="AB551" s="71"/>
      <c r="AC551" s="71"/>
      <c r="AD551" s="71"/>
      <c r="AE551" s="71"/>
      <c r="AF551" s="71"/>
      <c r="AG551" s="71"/>
      <c r="AH551" s="71"/>
      <c r="AI551" s="71"/>
      <c r="AJ551" s="71"/>
      <c r="AK551" s="71"/>
      <c r="AL551" s="71"/>
      <c r="AM551" s="71"/>
      <c r="AN551" s="71"/>
      <c r="AO551" s="71"/>
      <c r="AP551" s="71"/>
      <c r="AQ551" s="71"/>
      <c r="AR551" s="71"/>
      <c r="AS551" s="71"/>
      <c r="AT551" s="71"/>
    </row>
    <row r="552" spans="1:46" s="89" customFormat="1" ht="15.65" hidden="1" customHeight="1" x14ac:dyDescent="0.35">
      <c r="A552" s="188" t="s">
        <v>484</v>
      </c>
      <c r="B552" s="188"/>
      <c r="C552" s="169" t="s">
        <v>485</v>
      </c>
      <c r="D552" s="150" t="s">
        <v>444</v>
      </c>
      <c r="E552" s="167" t="s">
        <v>369</v>
      </c>
      <c r="F552" s="174"/>
      <c r="G552" s="106">
        <v>66.81</v>
      </c>
      <c r="H552" s="106">
        <v>69.56</v>
      </c>
      <c r="I552" s="99"/>
      <c r="J552" s="99" t="s">
        <v>477</v>
      </c>
      <c r="K552" s="107">
        <v>44926</v>
      </c>
      <c r="L552" s="169"/>
      <c r="M552" s="99"/>
      <c r="N552" s="108" t="s">
        <v>418</v>
      </c>
      <c r="O552" s="71"/>
      <c r="P552" s="71"/>
      <c r="Q552" s="71"/>
      <c r="R552" s="71"/>
      <c r="S552" s="71"/>
      <c r="T552" s="71"/>
      <c r="U552" s="71"/>
      <c r="V552" s="71"/>
      <c r="W552" s="71"/>
      <c r="X552" s="71"/>
      <c r="Y552" s="71"/>
      <c r="Z552" s="71"/>
      <c r="AA552" s="71"/>
      <c r="AB552" s="71"/>
      <c r="AC552" s="71"/>
      <c r="AD552" s="71"/>
      <c r="AE552" s="71"/>
      <c r="AF552" s="71"/>
      <c r="AG552" s="71"/>
      <c r="AH552" s="71"/>
      <c r="AI552" s="71"/>
      <c r="AJ552" s="71"/>
      <c r="AK552" s="71"/>
      <c r="AL552" s="71"/>
      <c r="AM552" s="71"/>
      <c r="AN552" s="71"/>
      <c r="AO552" s="71"/>
      <c r="AP552" s="71"/>
      <c r="AQ552" s="71"/>
      <c r="AR552" s="71"/>
      <c r="AS552" s="71"/>
      <c r="AT552" s="71"/>
    </row>
    <row r="553" spans="1:46" s="89" customFormat="1" ht="15.65" hidden="1" customHeight="1" x14ac:dyDescent="0.35">
      <c r="A553" s="188" t="s">
        <v>161</v>
      </c>
      <c r="B553" s="188"/>
      <c r="C553" s="99" t="s">
        <v>419</v>
      </c>
      <c r="D553" s="150" t="s">
        <v>427</v>
      </c>
      <c r="E553" s="150" t="s">
        <v>369</v>
      </c>
      <c r="F553" s="174"/>
      <c r="G553" s="117">
        <v>95.6</v>
      </c>
      <c r="H553" s="106">
        <v>98.35</v>
      </c>
      <c r="I553" s="99"/>
      <c r="J553" s="99" t="s">
        <v>477</v>
      </c>
      <c r="K553" s="107">
        <v>44377</v>
      </c>
      <c r="L553" s="169" t="s">
        <v>486</v>
      </c>
      <c r="M553" s="99" t="s">
        <v>20</v>
      </c>
      <c r="N553" s="108" t="s">
        <v>443</v>
      </c>
      <c r="O553" s="71"/>
      <c r="P553" s="71"/>
      <c r="Q553" s="71"/>
      <c r="R553" s="71"/>
      <c r="S553" s="71"/>
      <c r="T553" s="71"/>
      <c r="U553" s="71"/>
      <c r="V553" s="71"/>
      <c r="W553" s="71"/>
      <c r="X553" s="71"/>
      <c r="Y553" s="71"/>
      <c r="Z553" s="71"/>
      <c r="AA553" s="71"/>
      <c r="AB553" s="71"/>
      <c r="AC553" s="71"/>
      <c r="AD553" s="71"/>
      <c r="AE553" s="71"/>
      <c r="AF553" s="71"/>
      <c r="AG553" s="71"/>
      <c r="AH553" s="71"/>
      <c r="AI553" s="71"/>
      <c r="AJ553" s="71"/>
      <c r="AK553" s="71"/>
      <c r="AL553" s="71"/>
      <c r="AM553" s="71"/>
      <c r="AN553" s="71"/>
      <c r="AO553" s="71"/>
      <c r="AP553" s="71"/>
      <c r="AQ553" s="71"/>
      <c r="AR553" s="71"/>
      <c r="AS553" s="71"/>
      <c r="AT553" s="71"/>
    </row>
    <row r="554" spans="1:46" s="89" customFormat="1" ht="15.65" hidden="1" customHeight="1" x14ac:dyDescent="0.35">
      <c r="A554" s="188" t="s">
        <v>161</v>
      </c>
      <c r="B554" s="188"/>
      <c r="C554" s="99" t="s">
        <v>419</v>
      </c>
      <c r="D554" s="150" t="s">
        <v>465</v>
      </c>
      <c r="E554" s="150" t="s">
        <v>369</v>
      </c>
      <c r="F554" s="174"/>
      <c r="G554" s="117">
        <v>83.35</v>
      </c>
      <c r="H554" s="117">
        <f>G554+2.75</f>
        <v>86.1</v>
      </c>
      <c r="I554" s="99"/>
      <c r="J554" s="99" t="s">
        <v>487</v>
      </c>
      <c r="K554" s="107">
        <v>44926</v>
      </c>
      <c r="L554" s="169" t="s">
        <v>488</v>
      </c>
      <c r="M554" s="99" t="s">
        <v>20</v>
      </c>
      <c r="N554" s="108" t="s">
        <v>443</v>
      </c>
      <c r="O554" s="71"/>
      <c r="P554" s="71"/>
      <c r="Q554" s="71"/>
      <c r="R554" s="71"/>
      <c r="S554" s="71"/>
      <c r="T554" s="71"/>
      <c r="U554" s="71"/>
      <c r="V554" s="71"/>
      <c r="W554" s="71"/>
      <c r="X554" s="71"/>
      <c r="Y554" s="71"/>
      <c r="Z554" s="71"/>
      <c r="AA554" s="71"/>
      <c r="AB554" s="71"/>
      <c r="AC554" s="71"/>
      <c r="AD554" s="71"/>
      <c r="AE554" s="71"/>
      <c r="AF554" s="71"/>
      <c r="AG554" s="71"/>
      <c r="AH554" s="71"/>
      <c r="AI554" s="71"/>
      <c r="AJ554" s="71"/>
      <c r="AK554" s="71"/>
      <c r="AL554" s="71"/>
      <c r="AM554" s="71"/>
      <c r="AN554" s="71"/>
      <c r="AO554" s="71"/>
      <c r="AP554" s="71"/>
      <c r="AQ554" s="71"/>
      <c r="AR554" s="71"/>
      <c r="AS554" s="71"/>
      <c r="AT554" s="71"/>
    </row>
    <row r="555" spans="1:46" s="89" customFormat="1" ht="15.65" hidden="1" customHeight="1" x14ac:dyDescent="0.35">
      <c r="A555" s="188" t="s">
        <v>161</v>
      </c>
      <c r="B555" s="188"/>
      <c r="C555" s="99" t="s">
        <v>419</v>
      </c>
      <c r="D555" s="150" t="s">
        <v>444</v>
      </c>
      <c r="E555" s="150" t="s">
        <v>369</v>
      </c>
      <c r="F555" s="174"/>
      <c r="G555" s="117">
        <v>95.6</v>
      </c>
      <c r="H555" s="106">
        <v>98.35</v>
      </c>
      <c r="I555" s="99"/>
      <c r="J555" s="99" t="s">
        <v>477</v>
      </c>
      <c r="K555" s="107">
        <v>44926</v>
      </c>
      <c r="L555" s="169"/>
      <c r="M555" s="99" t="s">
        <v>20</v>
      </c>
      <c r="N555" s="108" t="s">
        <v>418</v>
      </c>
      <c r="O555" s="71"/>
      <c r="P555" s="71"/>
      <c r="Q555" s="71"/>
      <c r="R555" s="71"/>
      <c r="S555" s="71"/>
      <c r="T555" s="71"/>
      <c r="U555" s="71"/>
      <c r="V555" s="71"/>
      <c r="W555" s="71"/>
      <c r="X555" s="71"/>
      <c r="Y555" s="71"/>
      <c r="Z555" s="71"/>
      <c r="AA555" s="71"/>
      <c r="AB555" s="71"/>
      <c r="AC555" s="71"/>
      <c r="AD555" s="71"/>
      <c r="AE555" s="71"/>
      <c r="AF555" s="71"/>
      <c r="AG555" s="71"/>
      <c r="AH555" s="71"/>
      <c r="AI555" s="71"/>
      <c r="AJ555" s="71"/>
      <c r="AK555" s="71"/>
      <c r="AL555" s="71"/>
      <c r="AM555" s="71"/>
      <c r="AN555" s="71"/>
      <c r="AO555" s="71"/>
      <c r="AP555" s="71"/>
      <c r="AQ555" s="71"/>
      <c r="AR555" s="71"/>
      <c r="AS555" s="71"/>
      <c r="AT555" s="71"/>
    </row>
    <row r="556" spans="1:46" s="89" customFormat="1" ht="15.65" hidden="1" customHeight="1" x14ac:dyDescent="0.35">
      <c r="A556" s="180" t="s">
        <v>168</v>
      </c>
      <c r="B556" s="180"/>
      <c r="C556" s="181" t="s">
        <v>489</v>
      </c>
      <c r="D556" s="181" t="s">
        <v>427</v>
      </c>
      <c r="E556" s="181" t="s">
        <v>369</v>
      </c>
      <c r="F556" s="174"/>
      <c r="G556" s="171">
        <v>74.849999999999994</v>
      </c>
      <c r="H556" s="171">
        <f>G556+2.75</f>
        <v>77.599999999999994</v>
      </c>
      <c r="I556" s="177"/>
      <c r="J556" s="99" t="s">
        <v>441</v>
      </c>
      <c r="K556" s="107">
        <v>44043</v>
      </c>
      <c r="L556" s="99" t="s">
        <v>427</v>
      </c>
      <c r="M556" s="99"/>
      <c r="N556" s="99" t="s">
        <v>427</v>
      </c>
      <c r="O556" s="71"/>
      <c r="P556" s="71"/>
      <c r="Q556" s="71"/>
      <c r="R556" s="71"/>
      <c r="S556" s="71"/>
      <c r="T556" s="71"/>
      <c r="U556" s="71"/>
      <c r="V556" s="71"/>
      <c r="W556" s="71"/>
      <c r="X556" s="71"/>
      <c r="Y556" s="71"/>
      <c r="Z556" s="71"/>
      <c r="AA556" s="71"/>
      <c r="AB556" s="71"/>
      <c r="AC556" s="71"/>
      <c r="AD556" s="71"/>
      <c r="AE556" s="71"/>
      <c r="AF556" s="71"/>
      <c r="AG556" s="71"/>
      <c r="AH556" s="71"/>
      <c r="AI556" s="71"/>
      <c r="AJ556" s="71"/>
      <c r="AK556" s="71"/>
      <c r="AL556" s="71"/>
      <c r="AM556" s="71"/>
      <c r="AN556" s="71"/>
      <c r="AO556" s="71"/>
      <c r="AP556" s="71"/>
      <c r="AQ556" s="71"/>
      <c r="AR556" s="71"/>
      <c r="AS556" s="71"/>
      <c r="AT556" s="71"/>
    </row>
    <row r="557" spans="1:46" s="89" customFormat="1" ht="15.65" hidden="1" customHeight="1" x14ac:dyDescent="0.35">
      <c r="A557" s="180" t="s">
        <v>172</v>
      </c>
      <c r="B557" s="180"/>
      <c r="C557" s="181" t="s">
        <v>490</v>
      </c>
      <c r="D557" s="167" t="s">
        <v>427</v>
      </c>
      <c r="E557" s="167" t="s">
        <v>369</v>
      </c>
      <c r="F557" s="174"/>
      <c r="G557" s="171">
        <v>140.4</v>
      </c>
      <c r="H557" s="171">
        <f>G557+2.75</f>
        <v>143.15</v>
      </c>
      <c r="I557" s="172"/>
      <c r="J557" s="99" t="s">
        <v>432</v>
      </c>
      <c r="K557" s="107">
        <v>44561</v>
      </c>
      <c r="L557" s="99"/>
      <c r="M557" s="99" t="s">
        <v>20</v>
      </c>
      <c r="N557" s="99" t="s">
        <v>433</v>
      </c>
      <c r="O557" s="71"/>
      <c r="P557" s="71"/>
      <c r="Q557" s="71"/>
      <c r="R557" s="71"/>
      <c r="S557" s="71"/>
      <c r="T557" s="71"/>
      <c r="U557" s="71"/>
      <c r="V557" s="71"/>
      <c r="W557" s="71"/>
      <c r="X557" s="71"/>
      <c r="Y557" s="71"/>
      <c r="Z557" s="71"/>
      <c r="AA557" s="71"/>
      <c r="AB557" s="71"/>
      <c r="AC557" s="71"/>
      <c r="AD557" s="71"/>
      <c r="AE557" s="71"/>
      <c r="AF557" s="71"/>
      <c r="AG557" s="71"/>
      <c r="AH557" s="71"/>
      <c r="AI557" s="71"/>
      <c r="AJ557" s="71"/>
      <c r="AK557" s="71"/>
      <c r="AL557" s="71"/>
      <c r="AM557" s="71"/>
      <c r="AN557" s="71"/>
      <c r="AO557" s="71"/>
      <c r="AP557" s="71"/>
      <c r="AQ557" s="71"/>
      <c r="AR557" s="71"/>
      <c r="AS557" s="71"/>
      <c r="AT557" s="71"/>
    </row>
    <row r="558" spans="1:46" ht="15.65" hidden="1" customHeight="1" x14ac:dyDescent="0.35">
      <c r="A558" s="188" t="s">
        <v>172</v>
      </c>
      <c r="B558" s="188"/>
      <c r="C558" s="99" t="s">
        <v>490</v>
      </c>
      <c r="D558" s="150" t="s">
        <v>427</v>
      </c>
      <c r="E558" s="150" t="s">
        <v>369</v>
      </c>
      <c r="F558" s="174"/>
      <c r="G558" s="106">
        <v>144.94999999999999</v>
      </c>
      <c r="H558" s="117">
        <f>G558+2.75</f>
        <v>147.69999999999999</v>
      </c>
      <c r="I558" s="190"/>
      <c r="J558" s="99" t="s">
        <v>491</v>
      </c>
      <c r="K558" s="107">
        <v>44561</v>
      </c>
      <c r="L558" s="99"/>
      <c r="M558" s="99" t="s">
        <v>20</v>
      </c>
      <c r="N558" s="108" t="s">
        <v>457</v>
      </c>
    </row>
    <row r="559" spans="1:46" s="89" customFormat="1" ht="15.65" hidden="1" customHeight="1" x14ac:dyDescent="0.35">
      <c r="A559" s="188" t="s">
        <v>172</v>
      </c>
      <c r="B559" s="188"/>
      <c r="C559" s="99" t="s">
        <v>490</v>
      </c>
      <c r="D559" s="150" t="s">
        <v>444</v>
      </c>
      <c r="E559" s="150" t="s">
        <v>369</v>
      </c>
      <c r="F559" s="174"/>
      <c r="G559" s="106">
        <v>144.94999999999999</v>
      </c>
      <c r="H559" s="117">
        <v>147.69999999999999</v>
      </c>
      <c r="I559" s="190"/>
      <c r="J559" s="99" t="s">
        <v>491</v>
      </c>
      <c r="K559" s="107">
        <v>44926</v>
      </c>
      <c r="L559" s="99"/>
      <c r="M559" s="99" t="s">
        <v>20</v>
      </c>
      <c r="N559" s="108" t="s">
        <v>458</v>
      </c>
      <c r="O559" s="71"/>
      <c r="P559" s="71"/>
      <c r="Q559" s="71"/>
      <c r="R559" s="71"/>
      <c r="S559" s="71"/>
      <c r="T559" s="71"/>
      <c r="U559" s="71"/>
      <c r="V559" s="71"/>
      <c r="W559" s="71"/>
      <c r="X559" s="71"/>
      <c r="Y559" s="71"/>
      <c r="Z559" s="71"/>
      <c r="AA559" s="71"/>
      <c r="AB559" s="71"/>
      <c r="AC559" s="71"/>
      <c r="AD559" s="71"/>
      <c r="AE559" s="71"/>
      <c r="AF559" s="71"/>
      <c r="AG559" s="71"/>
      <c r="AH559" s="71"/>
      <c r="AI559" s="71"/>
      <c r="AJ559" s="71"/>
      <c r="AK559" s="71"/>
      <c r="AL559" s="71"/>
      <c r="AM559" s="71"/>
      <c r="AN559" s="71"/>
      <c r="AO559" s="71"/>
      <c r="AP559" s="71"/>
      <c r="AQ559" s="71"/>
      <c r="AR559" s="71"/>
      <c r="AS559" s="71"/>
      <c r="AT559" s="71"/>
    </row>
    <row r="560" spans="1:46" s="89" customFormat="1" ht="15.65" hidden="1" customHeight="1" x14ac:dyDescent="0.35">
      <c r="A560" s="180" t="s">
        <v>180</v>
      </c>
      <c r="B560" s="180"/>
      <c r="C560" s="181" t="s">
        <v>492</v>
      </c>
      <c r="D560" s="167" t="s">
        <v>427</v>
      </c>
      <c r="E560" s="167" t="s">
        <v>369</v>
      </c>
      <c r="F560" s="174"/>
      <c r="G560" s="171">
        <v>101.35</v>
      </c>
      <c r="H560" s="171">
        <f>G560+2.75</f>
        <v>104.1</v>
      </c>
      <c r="I560" s="172"/>
      <c r="J560" s="99" t="s">
        <v>428</v>
      </c>
      <c r="K560" s="107">
        <v>44561</v>
      </c>
      <c r="L560" s="99"/>
      <c r="M560" s="99"/>
      <c r="N560" s="99" t="s">
        <v>457</v>
      </c>
      <c r="O560" s="71"/>
      <c r="P560" s="71"/>
      <c r="Q560" s="71"/>
      <c r="R560" s="71"/>
      <c r="S560" s="71"/>
      <c r="T560" s="71"/>
      <c r="U560" s="71"/>
      <c r="V560" s="71"/>
      <c r="W560" s="71"/>
      <c r="X560" s="71"/>
      <c r="Y560" s="71"/>
      <c r="Z560" s="71"/>
      <c r="AA560" s="71"/>
      <c r="AB560" s="71"/>
      <c r="AC560" s="71"/>
      <c r="AD560" s="71"/>
      <c r="AE560" s="71"/>
      <c r="AF560" s="71"/>
      <c r="AG560" s="71"/>
      <c r="AH560" s="71"/>
      <c r="AI560" s="71"/>
      <c r="AJ560" s="71"/>
      <c r="AK560" s="71"/>
      <c r="AL560" s="71"/>
      <c r="AM560" s="71"/>
      <c r="AN560" s="71"/>
      <c r="AO560" s="71"/>
      <c r="AP560" s="71"/>
      <c r="AQ560" s="71"/>
      <c r="AR560" s="71"/>
      <c r="AS560" s="71"/>
      <c r="AT560" s="71"/>
    </row>
    <row r="561" spans="1:46" s="89" customFormat="1" ht="15.65" hidden="1" customHeight="1" x14ac:dyDescent="0.35">
      <c r="A561" s="180" t="s">
        <v>184</v>
      </c>
      <c r="B561" s="180"/>
      <c r="C561" s="181" t="s">
        <v>493</v>
      </c>
      <c r="D561" s="167" t="s">
        <v>427</v>
      </c>
      <c r="E561" s="167" t="s">
        <v>369</v>
      </c>
      <c r="F561" s="174"/>
      <c r="G561" s="171">
        <v>48.46</v>
      </c>
      <c r="H561" s="171">
        <f>G561+2.75</f>
        <v>51.21</v>
      </c>
      <c r="I561" s="172"/>
      <c r="J561" s="99" t="s">
        <v>432</v>
      </c>
      <c r="K561" s="107">
        <v>44561</v>
      </c>
      <c r="L561" s="99"/>
      <c r="M561" s="99" t="s">
        <v>20</v>
      </c>
      <c r="N561" s="99" t="s">
        <v>433</v>
      </c>
      <c r="O561" s="71"/>
      <c r="P561" s="71"/>
      <c r="Q561" s="71"/>
      <c r="R561" s="71"/>
      <c r="S561" s="71"/>
      <c r="T561" s="71"/>
      <c r="U561" s="71"/>
      <c r="V561" s="71"/>
      <c r="W561" s="71"/>
      <c r="X561" s="71"/>
      <c r="Y561" s="71"/>
      <c r="Z561" s="71"/>
      <c r="AA561" s="71"/>
      <c r="AB561" s="71"/>
      <c r="AC561" s="71"/>
      <c r="AD561" s="71"/>
      <c r="AE561" s="71"/>
      <c r="AF561" s="71"/>
      <c r="AG561" s="71"/>
      <c r="AH561" s="71"/>
      <c r="AI561" s="71"/>
      <c r="AJ561" s="71"/>
      <c r="AK561" s="71"/>
      <c r="AL561" s="71"/>
      <c r="AM561" s="71"/>
      <c r="AN561" s="71"/>
      <c r="AO561" s="71"/>
      <c r="AP561" s="71"/>
      <c r="AQ561" s="71"/>
      <c r="AR561" s="71"/>
      <c r="AS561" s="71"/>
      <c r="AT561" s="71"/>
    </row>
    <row r="562" spans="1:46" s="89" customFormat="1" ht="15.65" hidden="1" customHeight="1" x14ac:dyDescent="0.35">
      <c r="A562" s="180" t="s">
        <v>113</v>
      </c>
      <c r="B562" s="180"/>
      <c r="C562" s="181" t="s">
        <v>114</v>
      </c>
      <c r="D562" s="167" t="s">
        <v>427</v>
      </c>
      <c r="E562" s="167" t="s">
        <v>369</v>
      </c>
      <c r="F562" s="174"/>
      <c r="G562" s="202">
        <v>161</v>
      </c>
      <c r="H562" s="202">
        <f>G562+2.75</f>
        <v>163.75</v>
      </c>
      <c r="I562" s="293"/>
      <c r="J562" s="99" t="s">
        <v>428</v>
      </c>
      <c r="K562" s="107">
        <v>44196</v>
      </c>
      <c r="L562" s="99" t="s">
        <v>494</v>
      </c>
      <c r="M562" s="99" t="s">
        <v>104</v>
      </c>
      <c r="N562" s="173" t="s">
        <v>429</v>
      </c>
      <c r="O562" s="71"/>
      <c r="P562" s="71"/>
      <c r="Q562" s="71"/>
      <c r="R562" s="71"/>
      <c r="S562" s="71"/>
      <c r="T562" s="71"/>
      <c r="U562" s="71"/>
      <c r="V562" s="71"/>
      <c r="W562" s="71"/>
      <c r="X562" s="71"/>
      <c r="Y562" s="71"/>
      <c r="Z562" s="71"/>
      <c r="AA562" s="71"/>
      <c r="AB562" s="71"/>
      <c r="AC562" s="71"/>
      <c r="AD562" s="71"/>
      <c r="AE562" s="71"/>
      <c r="AF562" s="71"/>
      <c r="AG562" s="71"/>
      <c r="AH562" s="71"/>
      <c r="AI562" s="71"/>
      <c r="AJ562" s="71"/>
      <c r="AK562" s="71"/>
      <c r="AL562" s="71"/>
      <c r="AM562" s="71"/>
      <c r="AN562" s="71"/>
      <c r="AO562" s="71"/>
      <c r="AP562" s="71"/>
      <c r="AQ562" s="71"/>
      <c r="AR562" s="71"/>
      <c r="AS562" s="71"/>
      <c r="AT562" s="71"/>
    </row>
    <row r="563" spans="1:46" s="89" customFormat="1" ht="15.65" hidden="1" customHeight="1" x14ac:dyDescent="0.35">
      <c r="A563" s="180" t="s">
        <v>113</v>
      </c>
      <c r="B563" s="180"/>
      <c r="C563" s="181" t="s">
        <v>114</v>
      </c>
      <c r="D563" s="167" t="s">
        <v>427</v>
      </c>
      <c r="E563" s="167" t="s">
        <v>369</v>
      </c>
      <c r="F563" s="174"/>
      <c r="G563" s="202">
        <v>158.75</v>
      </c>
      <c r="H563" s="203">
        <v>161.5</v>
      </c>
      <c r="I563" s="207"/>
      <c r="J563" s="107" t="s">
        <v>449</v>
      </c>
      <c r="K563" s="107">
        <v>44196</v>
      </c>
      <c r="L563" s="99"/>
      <c r="M563" s="99" t="s">
        <v>104</v>
      </c>
      <c r="N563" s="173" t="s">
        <v>429</v>
      </c>
      <c r="O563" s="71"/>
      <c r="P563" s="71"/>
      <c r="Q563" s="71"/>
      <c r="R563" s="71"/>
      <c r="S563" s="71"/>
      <c r="T563" s="71"/>
      <c r="U563" s="71"/>
      <c r="V563" s="71"/>
      <c r="W563" s="71"/>
      <c r="X563" s="71"/>
      <c r="Y563" s="71"/>
      <c r="Z563" s="71"/>
      <c r="AA563" s="71"/>
      <c r="AB563" s="71"/>
      <c r="AC563" s="71"/>
      <c r="AD563" s="71"/>
      <c r="AE563" s="71"/>
      <c r="AF563" s="71"/>
      <c r="AG563" s="71"/>
      <c r="AH563" s="71"/>
      <c r="AI563" s="71"/>
      <c r="AJ563" s="71"/>
      <c r="AK563" s="71"/>
      <c r="AL563" s="71"/>
      <c r="AM563" s="71"/>
      <c r="AN563" s="71"/>
      <c r="AO563" s="71"/>
      <c r="AP563" s="71"/>
      <c r="AQ563" s="71"/>
      <c r="AR563" s="71"/>
      <c r="AS563" s="71"/>
      <c r="AT563" s="71"/>
    </row>
    <row r="564" spans="1:46" s="89" customFormat="1" ht="15.65" hidden="1" customHeight="1" x14ac:dyDescent="0.35">
      <c r="A564" s="204" t="s">
        <v>495</v>
      </c>
      <c r="B564" s="204"/>
      <c r="C564" s="99" t="s">
        <v>496</v>
      </c>
      <c r="D564" s="150" t="s">
        <v>497</v>
      </c>
      <c r="E564" s="150" t="s">
        <v>369</v>
      </c>
      <c r="F564" s="174"/>
      <c r="G564" s="106">
        <v>21.65</v>
      </c>
      <c r="H564" s="117">
        <f>G564+2.75</f>
        <v>24.4</v>
      </c>
      <c r="I564" s="190"/>
      <c r="J564" s="99" t="s">
        <v>487</v>
      </c>
      <c r="K564" s="107">
        <v>44561</v>
      </c>
      <c r="L564" s="169" t="s">
        <v>498</v>
      </c>
      <c r="M564" s="99"/>
      <c r="N564" s="108" t="s">
        <v>439</v>
      </c>
      <c r="O564" s="71"/>
      <c r="P564" s="71"/>
      <c r="Q564" s="71"/>
      <c r="R564" s="71"/>
      <c r="S564" s="71"/>
      <c r="T564" s="71"/>
      <c r="U564" s="71"/>
      <c r="V564" s="71"/>
      <c r="W564" s="71"/>
      <c r="X564" s="71"/>
      <c r="Y564" s="71"/>
      <c r="Z564" s="71"/>
      <c r="AA564" s="71"/>
      <c r="AB564" s="71"/>
      <c r="AC564" s="71"/>
      <c r="AD564" s="71"/>
      <c r="AE564" s="71"/>
      <c r="AF564" s="71"/>
      <c r="AG564" s="71"/>
      <c r="AH564" s="71"/>
      <c r="AI564" s="71"/>
      <c r="AJ564" s="71"/>
      <c r="AK564" s="71"/>
      <c r="AL564" s="71"/>
      <c r="AM564" s="71"/>
      <c r="AN564" s="71"/>
      <c r="AO564" s="71"/>
      <c r="AP564" s="71"/>
      <c r="AQ564" s="71"/>
      <c r="AR564" s="71"/>
      <c r="AS564" s="71"/>
      <c r="AT564" s="71"/>
    </row>
    <row r="565" spans="1:46" s="89" customFormat="1" ht="15.65" hidden="1" customHeight="1" x14ac:dyDescent="0.35">
      <c r="A565" s="188" t="s">
        <v>63</v>
      </c>
      <c r="B565" s="188"/>
      <c r="C565" s="99" t="s">
        <v>64</v>
      </c>
      <c r="D565" s="150" t="s">
        <v>427</v>
      </c>
      <c r="E565" s="150" t="s">
        <v>369</v>
      </c>
      <c r="F565" s="174"/>
      <c r="G565" s="106">
        <v>34.950000000000003</v>
      </c>
      <c r="H565" s="117">
        <v>37.700000000000003</v>
      </c>
      <c r="I565" s="190"/>
      <c r="J565" s="99" t="s">
        <v>428</v>
      </c>
      <c r="K565" s="107">
        <v>44561</v>
      </c>
      <c r="L565" s="169" t="s">
        <v>499</v>
      </c>
      <c r="M565" s="99"/>
      <c r="N565" s="108" t="s">
        <v>439</v>
      </c>
      <c r="O565" s="71"/>
      <c r="P565" s="71"/>
      <c r="Q565" s="71"/>
      <c r="R565" s="71"/>
      <c r="S565" s="71"/>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c r="AR565" s="71"/>
      <c r="AS565" s="71"/>
      <c r="AT565" s="71"/>
    </row>
    <row r="566" spans="1:46" ht="15.65" hidden="1" customHeight="1" x14ac:dyDescent="0.35">
      <c r="A566" s="188" t="s">
        <v>63</v>
      </c>
      <c r="B566" s="188"/>
      <c r="C566" s="99" t="s">
        <v>64</v>
      </c>
      <c r="D566" s="150" t="s">
        <v>444</v>
      </c>
      <c r="E566" s="150" t="s">
        <v>369</v>
      </c>
      <c r="F566" s="174"/>
      <c r="G566" s="106">
        <v>34.950000000000003</v>
      </c>
      <c r="H566" s="117">
        <v>37.700000000000003</v>
      </c>
      <c r="I566" s="190"/>
      <c r="J566" s="99" t="s">
        <v>428</v>
      </c>
      <c r="K566" s="107">
        <v>44926</v>
      </c>
      <c r="L566" s="169"/>
      <c r="M566" s="99"/>
      <c r="N566" s="108" t="s">
        <v>418</v>
      </c>
    </row>
    <row r="567" spans="1:46" s="89" customFormat="1" ht="15.65" hidden="1" customHeight="1" x14ac:dyDescent="0.35">
      <c r="A567" s="188" t="s">
        <v>500</v>
      </c>
      <c r="B567" s="188"/>
      <c r="C567" s="99" t="s">
        <v>501</v>
      </c>
      <c r="D567" s="150" t="s">
        <v>474</v>
      </c>
      <c r="E567" s="150" t="s">
        <v>369</v>
      </c>
      <c r="F567" s="174"/>
      <c r="G567" s="117">
        <v>16.2</v>
      </c>
      <c r="H567" s="106">
        <v>18.95</v>
      </c>
      <c r="I567" s="99"/>
      <c r="J567" s="99" t="s">
        <v>449</v>
      </c>
      <c r="K567" s="107">
        <v>44270</v>
      </c>
      <c r="L567" s="169" t="s">
        <v>502</v>
      </c>
      <c r="M567" s="99"/>
      <c r="N567" s="108" t="s">
        <v>443</v>
      </c>
      <c r="O567" s="71"/>
      <c r="P567" s="71"/>
      <c r="Q567" s="71"/>
      <c r="R567" s="71"/>
      <c r="S567" s="71"/>
      <c r="T567" s="71"/>
      <c r="U567" s="7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c r="AR567" s="71"/>
      <c r="AS567" s="71"/>
      <c r="AT567" s="71"/>
    </row>
    <row r="568" spans="1:46" s="89" customFormat="1" ht="15.65" hidden="1" customHeight="1" x14ac:dyDescent="0.35">
      <c r="A568" s="180" t="s">
        <v>503</v>
      </c>
      <c r="B568" s="180"/>
      <c r="C568" s="181" t="s">
        <v>504</v>
      </c>
      <c r="D568" s="167" t="s">
        <v>427</v>
      </c>
      <c r="E568" s="150" t="s">
        <v>369</v>
      </c>
      <c r="F568" s="174"/>
      <c r="G568" s="171">
        <v>19.75</v>
      </c>
      <c r="H568" s="171">
        <f>G568+2.75</f>
        <v>22.5</v>
      </c>
      <c r="I568" s="172"/>
      <c r="J568" s="99" t="s">
        <v>428</v>
      </c>
      <c r="K568" s="107">
        <v>44561</v>
      </c>
      <c r="L568" s="99" t="s">
        <v>494</v>
      </c>
      <c r="M568" s="99" t="s">
        <v>456</v>
      </c>
      <c r="N568" s="99" t="s">
        <v>457</v>
      </c>
      <c r="O568" s="71"/>
      <c r="P568" s="71"/>
      <c r="Q568" s="71"/>
      <c r="R568" s="71"/>
      <c r="S568" s="71"/>
      <c r="T568" s="71"/>
      <c r="U568" s="71"/>
      <c r="V568" s="71"/>
      <c r="W568" s="71"/>
      <c r="X568" s="71"/>
      <c r="Y568" s="71"/>
      <c r="Z568" s="71"/>
      <c r="AA568" s="71"/>
      <c r="AB568" s="71"/>
      <c r="AC568" s="71"/>
      <c r="AD568" s="71"/>
      <c r="AE568" s="71"/>
      <c r="AF568" s="71"/>
      <c r="AG568" s="71"/>
      <c r="AH568" s="71"/>
      <c r="AI568" s="71"/>
      <c r="AJ568" s="71"/>
      <c r="AK568" s="71"/>
      <c r="AL568" s="71"/>
      <c r="AM568" s="71"/>
      <c r="AN568" s="71"/>
      <c r="AO568" s="71"/>
      <c r="AP568" s="71"/>
      <c r="AQ568" s="71"/>
      <c r="AR568" s="71"/>
      <c r="AS568" s="71"/>
      <c r="AT568" s="71"/>
    </row>
    <row r="569" spans="1:46" s="89" customFormat="1" ht="15.65" hidden="1" customHeight="1" x14ac:dyDescent="0.35">
      <c r="A569" s="188" t="s">
        <v>503</v>
      </c>
      <c r="B569" s="188"/>
      <c r="C569" s="99" t="s">
        <v>505</v>
      </c>
      <c r="D569" s="150" t="s">
        <v>427</v>
      </c>
      <c r="E569" s="150" t="s">
        <v>369</v>
      </c>
      <c r="F569" s="174"/>
      <c r="G569" s="106">
        <v>19.75</v>
      </c>
      <c r="H569" s="117">
        <v>22.5</v>
      </c>
      <c r="I569" s="190"/>
      <c r="J569" s="99" t="s">
        <v>449</v>
      </c>
      <c r="K569" s="107">
        <v>44561</v>
      </c>
      <c r="L569" s="169" t="s">
        <v>506</v>
      </c>
      <c r="M569" s="99" t="s">
        <v>104</v>
      </c>
      <c r="N569" s="108" t="s">
        <v>443</v>
      </c>
      <c r="O569" s="71"/>
      <c r="P569" s="71"/>
      <c r="Q569" s="71"/>
      <c r="R569" s="71"/>
      <c r="S569" s="71"/>
      <c r="T569" s="71"/>
      <c r="U569" s="71"/>
      <c r="V569" s="71"/>
      <c r="W569" s="71"/>
      <c r="X569" s="71"/>
      <c r="Y569" s="71"/>
      <c r="Z569" s="71"/>
      <c r="AA569" s="71"/>
      <c r="AB569" s="71"/>
      <c r="AC569" s="71"/>
      <c r="AD569" s="71"/>
      <c r="AE569" s="71"/>
      <c r="AF569" s="71"/>
      <c r="AG569" s="71"/>
      <c r="AH569" s="71"/>
      <c r="AI569" s="71"/>
      <c r="AJ569" s="71"/>
      <c r="AK569" s="71"/>
      <c r="AL569" s="71"/>
      <c r="AM569" s="71"/>
      <c r="AN569" s="71"/>
      <c r="AO569" s="71"/>
      <c r="AP569" s="71"/>
      <c r="AQ569" s="71"/>
      <c r="AR569" s="71"/>
      <c r="AS569" s="71"/>
      <c r="AT569" s="71"/>
    </row>
    <row r="570" spans="1:46" s="89" customFormat="1" ht="15.65" hidden="1" customHeight="1" x14ac:dyDescent="0.35">
      <c r="A570" s="188" t="s">
        <v>503</v>
      </c>
      <c r="B570" s="188"/>
      <c r="C570" s="99" t="s">
        <v>505</v>
      </c>
      <c r="D570" s="150" t="s">
        <v>427</v>
      </c>
      <c r="E570" s="150" t="s">
        <v>369</v>
      </c>
      <c r="F570" s="174"/>
      <c r="G570" s="117">
        <v>13.5</v>
      </c>
      <c r="H570" s="117">
        <v>16.25</v>
      </c>
      <c r="I570" s="190"/>
      <c r="J570" s="99" t="s">
        <v>449</v>
      </c>
      <c r="K570" s="107">
        <v>44286</v>
      </c>
      <c r="L570" s="169" t="s">
        <v>507</v>
      </c>
      <c r="M570" s="99" t="s">
        <v>104</v>
      </c>
      <c r="N570" s="108" t="s">
        <v>443</v>
      </c>
      <c r="O570" s="71"/>
      <c r="P570" s="71"/>
      <c r="Q570" s="71"/>
      <c r="R570" s="71"/>
      <c r="S570" s="71"/>
      <c r="T570" s="71"/>
      <c r="U570" s="71"/>
      <c r="V570" s="71"/>
      <c r="W570" s="71"/>
      <c r="X570" s="71"/>
      <c r="Y570" s="71"/>
      <c r="Z570" s="71"/>
      <c r="AA570" s="71"/>
      <c r="AB570" s="71"/>
      <c r="AC570" s="71"/>
      <c r="AD570" s="71"/>
      <c r="AE570" s="71"/>
      <c r="AF570" s="71"/>
      <c r="AG570" s="71"/>
      <c r="AH570" s="71"/>
      <c r="AI570" s="71"/>
      <c r="AJ570" s="71"/>
      <c r="AK570" s="71"/>
      <c r="AL570" s="71"/>
      <c r="AM570" s="71"/>
      <c r="AN570" s="71"/>
      <c r="AO570" s="71"/>
      <c r="AP570" s="71"/>
      <c r="AQ570" s="71"/>
      <c r="AR570" s="71"/>
      <c r="AS570" s="71"/>
      <c r="AT570" s="71"/>
    </row>
    <row r="571" spans="1:46" s="89" customFormat="1" ht="15.65" hidden="1" customHeight="1" x14ac:dyDescent="0.35">
      <c r="A571" s="188" t="s">
        <v>503</v>
      </c>
      <c r="B571" s="188"/>
      <c r="C571" s="99" t="s">
        <v>505</v>
      </c>
      <c r="D571" s="150" t="s">
        <v>465</v>
      </c>
      <c r="E571" s="150" t="s">
        <v>369</v>
      </c>
      <c r="F571" s="174"/>
      <c r="G571" s="117">
        <v>19.95</v>
      </c>
      <c r="H571" s="117">
        <f>G571+2.75</f>
        <v>22.7</v>
      </c>
      <c r="I571" s="190"/>
      <c r="J571" s="99" t="s">
        <v>449</v>
      </c>
      <c r="K571" s="107">
        <v>44620</v>
      </c>
      <c r="L571" s="169" t="s">
        <v>508</v>
      </c>
      <c r="M571" s="99" t="s">
        <v>104</v>
      </c>
      <c r="N571" s="108" t="s">
        <v>443</v>
      </c>
      <c r="O571" s="71"/>
      <c r="P571" s="71"/>
      <c r="Q571" s="71"/>
      <c r="R571" s="71"/>
      <c r="S571" s="71"/>
      <c r="T571" s="71"/>
      <c r="U571" s="71"/>
      <c r="V571" s="71"/>
      <c r="W571" s="71"/>
      <c r="X571" s="71"/>
      <c r="Y571" s="71"/>
      <c r="Z571" s="71"/>
      <c r="AA571" s="71"/>
      <c r="AB571" s="71"/>
      <c r="AC571" s="71"/>
      <c r="AD571" s="71"/>
      <c r="AE571" s="71"/>
      <c r="AF571" s="71"/>
      <c r="AG571" s="71"/>
      <c r="AH571" s="71"/>
      <c r="AI571" s="71"/>
      <c r="AJ571" s="71"/>
      <c r="AK571" s="71"/>
      <c r="AL571" s="71"/>
      <c r="AM571" s="71"/>
      <c r="AN571" s="71"/>
      <c r="AO571" s="71"/>
      <c r="AP571" s="71"/>
      <c r="AQ571" s="71"/>
      <c r="AR571" s="71"/>
      <c r="AS571" s="71"/>
      <c r="AT571" s="71"/>
    </row>
    <row r="572" spans="1:46" s="89" customFormat="1" ht="15.65" hidden="1" customHeight="1" x14ac:dyDescent="0.35">
      <c r="A572" s="175" t="s">
        <v>43</v>
      </c>
      <c r="B572" s="175"/>
      <c r="C572" s="167" t="s">
        <v>44</v>
      </c>
      <c r="D572" s="167" t="s">
        <v>427</v>
      </c>
      <c r="E572" s="167" t="s">
        <v>369</v>
      </c>
      <c r="F572" s="174"/>
      <c r="G572" s="176">
        <v>109.5</v>
      </c>
      <c r="H572" s="176">
        <f>G572+2.75</f>
        <v>112.25</v>
      </c>
      <c r="I572" s="177"/>
      <c r="J572" s="150" t="s">
        <v>509</v>
      </c>
      <c r="K572" s="178">
        <v>44043</v>
      </c>
      <c r="L572" s="150" t="s">
        <v>427</v>
      </c>
      <c r="M572" s="99"/>
      <c r="N572" s="99" t="s">
        <v>427</v>
      </c>
      <c r="O572" s="71"/>
      <c r="P572" s="71"/>
      <c r="Q572" s="71"/>
      <c r="R572" s="71"/>
      <c r="S572" s="71"/>
      <c r="T572" s="71"/>
      <c r="U572" s="71"/>
      <c r="V572" s="71"/>
      <c r="W572" s="71"/>
      <c r="X572" s="71"/>
      <c r="Y572" s="71"/>
      <c r="Z572" s="71"/>
      <c r="AA572" s="71"/>
      <c r="AB572" s="71"/>
      <c r="AC572" s="71"/>
      <c r="AD572" s="71"/>
      <c r="AE572" s="71"/>
      <c r="AF572" s="71"/>
      <c r="AG572" s="71"/>
      <c r="AH572" s="71"/>
      <c r="AI572" s="71"/>
      <c r="AJ572" s="71"/>
      <c r="AK572" s="71"/>
      <c r="AL572" s="71"/>
      <c r="AM572" s="71"/>
      <c r="AN572" s="71"/>
      <c r="AO572" s="71"/>
      <c r="AP572" s="71"/>
      <c r="AQ572" s="71"/>
      <c r="AR572" s="71"/>
      <c r="AS572" s="71"/>
      <c r="AT572" s="71"/>
    </row>
    <row r="573" spans="1:46" s="89" customFormat="1" ht="15.65" hidden="1" customHeight="1" x14ac:dyDescent="0.35">
      <c r="A573" s="188" t="s">
        <v>43</v>
      </c>
      <c r="B573" s="188"/>
      <c r="C573" s="99" t="s">
        <v>44</v>
      </c>
      <c r="D573" s="150" t="s">
        <v>427</v>
      </c>
      <c r="E573" s="150" t="s">
        <v>369</v>
      </c>
      <c r="F573" s="174"/>
      <c r="G573" s="106">
        <v>104.75</v>
      </c>
      <c r="H573" s="106">
        <f>G573+2.75</f>
        <v>107.5</v>
      </c>
      <c r="I573" s="99"/>
      <c r="J573" s="99" t="s">
        <v>428</v>
      </c>
      <c r="K573" s="107">
        <v>44561</v>
      </c>
      <c r="L573" s="169" t="s">
        <v>510</v>
      </c>
      <c r="M573" s="99"/>
      <c r="N573" s="108" t="s">
        <v>439</v>
      </c>
      <c r="O573" s="71"/>
      <c r="P573" s="71"/>
      <c r="Q573" s="71"/>
      <c r="R573" s="71"/>
      <c r="S573" s="71"/>
      <c r="T573" s="71"/>
      <c r="U573" s="71"/>
      <c r="V573" s="71"/>
      <c r="W573" s="71"/>
      <c r="X573" s="71"/>
      <c r="Y573" s="71"/>
      <c r="Z573" s="71"/>
      <c r="AA573" s="71"/>
      <c r="AB573" s="71"/>
      <c r="AC573" s="71"/>
      <c r="AD573" s="71"/>
      <c r="AE573" s="71"/>
      <c r="AF573" s="71"/>
      <c r="AG573" s="71"/>
      <c r="AH573" s="71"/>
      <c r="AI573" s="71"/>
      <c r="AJ573" s="71"/>
      <c r="AK573" s="71"/>
      <c r="AL573" s="71"/>
      <c r="AM573" s="71"/>
      <c r="AN573" s="71"/>
      <c r="AO573" s="71"/>
      <c r="AP573" s="71"/>
      <c r="AQ573" s="71"/>
      <c r="AR573" s="71"/>
      <c r="AS573" s="71"/>
      <c r="AT573" s="71"/>
    </row>
    <row r="574" spans="1:46" s="89" customFormat="1" ht="15.65" hidden="1" customHeight="1" x14ac:dyDescent="0.35">
      <c r="A574" s="188" t="s">
        <v>43</v>
      </c>
      <c r="B574" s="188"/>
      <c r="C574" s="99" t="s">
        <v>44</v>
      </c>
      <c r="D574" s="150" t="s">
        <v>444</v>
      </c>
      <c r="E574" s="150" t="s">
        <v>369</v>
      </c>
      <c r="F574" s="174"/>
      <c r="G574" s="106">
        <v>104.75</v>
      </c>
      <c r="H574" s="106">
        <f>G574+2.75</f>
        <v>107.5</v>
      </c>
      <c r="I574" s="99"/>
      <c r="J574" s="99" t="s">
        <v>428</v>
      </c>
      <c r="K574" s="107">
        <v>44926</v>
      </c>
      <c r="L574" s="169"/>
      <c r="M574" s="99"/>
      <c r="N574" s="108" t="s">
        <v>418</v>
      </c>
      <c r="O574" s="71"/>
      <c r="P574" s="71"/>
      <c r="Q574" s="71"/>
      <c r="R574" s="71"/>
      <c r="S574" s="71"/>
      <c r="T574" s="71"/>
      <c r="U574" s="71"/>
      <c r="V574" s="71"/>
      <c r="W574" s="71"/>
      <c r="X574" s="71"/>
      <c r="Y574" s="71"/>
      <c r="Z574" s="71"/>
      <c r="AA574" s="71"/>
      <c r="AB574" s="71"/>
      <c r="AC574" s="71"/>
      <c r="AD574" s="71"/>
      <c r="AE574" s="71"/>
      <c r="AF574" s="71"/>
      <c r="AG574" s="71"/>
      <c r="AH574" s="71"/>
      <c r="AI574" s="71"/>
      <c r="AJ574" s="71"/>
      <c r="AK574" s="71"/>
      <c r="AL574" s="71"/>
      <c r="AM574" s="71"/>
      <c r="AN574" s="71"/>
      <c r="AO574" s="71"/>
      <c r="AP574" s="71"/>
      <c r="AQ574" s="71"/>
      <c r="AR574" s="71"/>
      <c r="AS574" s="71"/>
      <c r="AT574" s="71"/>
    </row>
    <row r="575" spans="1:46" s="89" customFormat="1" ht="15.65" hidden="1" customHeight="1" x14ac:dyDescent="0.35">
      <c r="A575" s="175" t="s">
        <v>511</v>
      </c>
      <c r="B575" s="175"/>
      <c r="C575" s="167" t="s">
        <v>512</v>
      </c>
      <c r="D575" s="167" t="s">
        <v>427</v>
      </c>
      <c r="E575" s="167" t="s">
        <v>369</v>
      </c>
      <c r="F575" s="174"/>
      <c r="G575" s="205" t="s">
        <v>513</v>
      </c>
      <c r="H575" s="176">
        <v>20</v>
      </c>
      <c r="I575" s="177"/>
      <c r="J575" s="150" t="s">
        <v>428</v>
      </c>
      <c r="K575" s="178">
        <v>44196</v>
      </c>
      <c r="L575" s="150"/>
      <c r="M575" s="150"/>
      <c r="N575" s="179" t="s">
        <v>429</v>
      </c>
      <c r="O575" s="71"/>
      <c r="P575" s="71"/>
      <c r="Q575" s="71"/>
      <c r="R575" s="71"/>
      <c r="S575" s="71"/>
      <c r="T575" s="71"/>
      <c r="U575" s="71"/>
      <c r="V575" s="71"/>
      <c r="W575" s="71"/>
      <c r="X575" s="71"/>
      <c r="Y575" s="71"/>
      <c r="Z575" s="71"/>
      <c r="AA575" s="71"/>
      <c r="AB575" s="71"/>
      <c r="AC575" s="71"/>
      <c r="AD575" s="71"/>
      <c r="AE575" s="71"/>
      <c r="AF575" s="71"/>
      <c r="AG575" s="71"/>
      <c r="AH575" s="71"/>
      <c r="AI575" s="71"/>
      <c r="AJ575" s="71"/>
      <c r="AK575" s="71"/>
      <c r="AL575" s="71"/>
      <c r="AM575" s="71"/>
      <c r="AN575" s="71"/>
      <c r="AO575" s="71"/>
      <c r="AP575" s="71"/>
      <c r="AQ575" s="71"/>
      <c r="AR575" s="71"/>
      <c r="AS575" s="71"/>
      <c r="AT575" s="71"/>
    </row>
    <row r="576" spans="1:46" s="89" customFormat="1" ht="15.65" hidden="1" customHeight="1" x14ac:dyDescent="0.35">
      <c r="A576" s="188" t="s">
        <v>196</v>
      </c>
      <c r="B576" s="188"/>
      <c r="C576" s="99" t="s">
        <v>514</v>
      </c>
      <c r="D576" s="150" t="s">
        <v>427</v>
      </c>
      <c r="E576" s="170" t="s">
        <v>369</v>
      </c>
      <c r="F576" s="174"/>
      <c r="G576" s="106">
        <v>28.66</v>
      </c>
      <c r="H576" s="106">
        <v>31.41</v>
      </c>
      <c r="I576" s="99"/>
      <c r="J576" s="99" t="s">
        <v>515</v>
      </c>
      <c r="K576" s="107">
        <v>44561</v>
      </c>
      <c r="L576" s="169" t="s">
        <v>516</v>
      </c>
      <c r="M576" s="99"/>
      <c r="N576" s="108" t="s">
        <v>443</v>
      </c>
      <c r="O576" s="71"/>
      <c r="P576" s="71"/>
      <c r="Q576" s="71"/>
      <c r="R576" s="71"/>
      <c r="S576" s="71"/>
      <c r="T576" s="71"/>
      <c r="U576" s="71"/>
      <c r="V576" s="71"/>
      <c r="W576" s="71"/>
      <c r="X576" s="71"/>
      <c r="Y576" s="71"/>
      <c r="Z576" s="71"/>
      <c r="AA576" s="71"/>
      <c r="AB576" s="71"/>
      <c r="AC576" s="71"/>
      <c r="AD576" s="71"/>
      <c r="AE576" s="71"/>
      <c r="AF576" s="71"/>
      <c r="AG576" s="71"/>
      <c r="AH576" s="71"/>
      <c r="AI576" s="71"/>
      <c r="AJ576" s="71"/>
      <c r="AK576" s="71"/>
      <c r="AL576" s="71"/>
      <c r="AM576" s="71"/>
      <c r="AN576" s="71"/>
      <c r="AO576" s="71"/>
      <c r="AP576" s="71"/>
      <c r="AQ576" s="71"/>
      <c r="AR576" s="71"/>
      <c r="AS576" s="71"/>
      <c r="AT576" s="71"/>
    </row>
    <row r="577" spans="1:46" s="89" customFormat="1" ht="15.65" hidden="1" customHeight="1" x14ac:dyDescent="0.35">
      <c r="A577" s="188" t="s">
        <v>196</v>
      </c>
      <c r="B577" s="188"/>
      <c r="C577" s="99" t="s">
        <v>514</v>
      </c>
      <c r="D577" s="150" t="s">
        <v>444</v>
      </c>
      <c r="E577" s="170" t="s">
        <v>369</v>
      </c>
      <c r="F577" s="174"/>
      <c r="G577" s="106">
        <v>28.66</v>
      </c>
      <c r="H577" s="106">
        <v>31.41</v>
      </c>
      <c r="I577" s="99"/>
      <c r="J577" s="99" t="s">
        <v>515</v>
      </c>
      <c r="K577" s="107">
        <v>44926</v>
      </c>
      <c r="L577" s="169"/>
      <c r="M577" s="99"/>
      <c r="N577" s="108" t="s">
        <v>418</v>
      </c>
      <c r="O577" s="71"/>
      <c r="P577" s="71"/>
      <c r="Q577" s="71"/>
      <c r="R577" s="71"/>
      <c r="S577" s="71"/>
      <c r="T577" s="71"/>
      <c r="U577" s="71"/>
      <c r="V577" s="71"/>
      <c r="W577" s="71"/>
      <c r="X577" s="71"/>
      <c r="Y577" s="71"/>
      <c r="Z577" s="71"/>
      <c r="AA577" s="71"/>
      <c r="AB577" s="71"/>
      <c r="AC577" s="71"/>
      <c r="AD577" s="71"/>
      <c r="AE577" s="71"/>
      <c r="AF577" s="71"/>
      <c r="AG577" s="71"/>
      <c r="AH577" s="71"/>
      <c r="AI577" s="71"/>
      <c r="AJ577" s="71"/>
      <c r="AK577" s="71"/>
      <c r="AL577" s="71"/>
      <c r="AM577" s="71"/>
      <c r="AN577" s="71"/>
      <c r="AO577" s="71"/>
      <c r="AP577" s="71"/>
      <c r="AQ577" s="71"/>
      <c r="AR577" s="71"/>
      <c r="AS577" s="71"/>
      <c r="AT577" s="71"/>
    </row>
    <row r="578" spans="1:46" ht="15.65" hidden="1" customHeight="1" x14ac:dyDescent="0.35">
      <c r="A578" s="188" t="s">
        <v>517</v>
      </c>
      <c r="B578" s="188"/>
      <c r="C578" s="99" t="s">
        <v>514</v>
      </c>
      <c r="D578" s="150" t="s">
        <v>427</v>
      </c>
      <c r="E578" s="150" t="s">
        <v>369</v>
      </c>
      <c r="F578" s="174"/>
      <c r="G578" s="106">
        <v>28.66</v>
      </c>
      <c r="H578" s="106">
        <v>31.41</v>
      </c>
      <c r="I578" s="99"/>
      <c r="J578" s="99" t="s">
        <v>428</v>
      </c>
      <c r="K578" s="107">
        <v>44561</v>
      </c>
      <c r="L578" s="169" t="s">
        <v>516</v>
      </c>
      <c r="M578" s="99"/>
      <c r="N578" s="108" t="s">
        <v>443</v>
      </c>
    </row>
    <row r="579" spans="1:46" s="89" customFormat="1" ht="15.65" hidden="1" customHeight="1" x14ac:dyDescent="0.35">
      <c r="A579" s="188" t="s">
        <v>517</v>
      </c>
      <c r="B579" s="188"/>
      <c r="C579" s="99" t="s">
        <v>514</v>
      </c>
      <c r="D579" s="150" t="s">
        <v>444</v>
      </c>
      <c r="E579" s="170" t="s">
        <v>369</v>
      </c>
      <c r="F579" s="174"/>
      <c r="G579" s="106">
        <v>28.66</v>
      </c>
      <c r="H579" s="106">
        <v>31.41</v>
      </c>
      <c r="I579" s="99"/>
      <c r="J579" s="99" t="s">
        <v>428</v>
      </c>
      <c r="K579" s="107">
        <v>44926</v>
      </c>
      <c r="L579" s="169"/>
      <c r="M579" s="99"/>
      <c r="N579" s="108" t="s">
        <v>418</v>
      </c>
      <c r="O579" s="71"/>
      <c r="P579" s="71"/>
      <c r="Q579" s="71"/>
      <c r="R579" s="71"/>
      <c r="S579" s="71"/>
      <c r="T579" s="71"/>
      <c r="U579" s="71"/>
      <c r="V579" s="71"/>
      <c r="W579" s="71"/>
      <c r="X579" s="71"/>
      <c r="Y579" s="71"/>
      <c r="Z579" s="71"/>
      <c r="AA579" s="71"/>
      <c r="AB579" s="71"/>
      <c r="AC579" s="71"/>
      <c r="AD579" s="71"/>
      <c r="AE579" s="71"/>
      <c r="AF579" s="71"/>
      <c r="AG579" s="71"/>
      <c r="AH579" s="71"/>
      <c r="AI579" s="71"/>
      <c r="AJ579" s="71"/>
      <c r="AK579" s="71"/>
      <c r="AL579" s="71"/>
      <c r="AM579" s="71"/>
      <c r="AN579" s="71"/>
      <c r="AO579" s="71"/>
      <c r="AP579" s="71"/>
      <c r="AQ579" s="71"/>
      <c r="AR579" s="71"/>
      <c r="AS579" s="71"/>
      <c r="AT579" s="71"/>
    </row>
    <row r="580" spans="1:46" s="89" customFormat="1" ht="15.65" hidden="1" customHeight="1" x14ac:dyDescent="0.35">
      <c r="A580" s="175" t="s">
        <v>200</v>
      </c>
      <c r="B580" s="175"/>
      <c r="C580" s="167" t="s">
        <v>518</v>
      </c>
      <c r="D580" s="167" t="s">
        <v>427</v>
      </c>
      <c r="E580" s="170" t="s">
        <v>369</v>
      </c>
      <c r="F580" s="174"/>
      <c r="G580" s="176">
        <v>40.25</v>
      </c>
      <c r="H580" s="176">
        <f t="shared" ref="H580:H585" si="3">G580+2.75</f>
        <v>43</v>
      </c>
      <c r="I580" s="177"/>
      <c r="J580" s="150" t="s">
        <v>441</v>
      </c>
      <c r="K580" s="178">
        <v>43921</v>
      </c>
      <c r="L580" s="150" t="s">
        <v>427</v>
      </c>
      <c r="M580" s="99"/>
      <c r="N580" s="99" t="s">
        <v>427</v>
      </c>
      <c r="O580" s="71"/>
      <c r="P580" s="71"/>
      <c r="Q580" s="71"/>
      <c r="R580" s="71"/>
      <c r="S580" s="71"/>
      <c r="T580" s="71"/>
      <c r="U580" s="71"/>
      <c r="V580" s="71"/>
      <c r="W580" s="71"/>
      <c r="X580" s="71"/>
      <c r="Y580" s="71"/>
      <c r="Z580" s="71"/>
      <c r="AA580" s="71"/>
      <c r="AB580" s="71"/>
      <c r="AC580" s="71"/>
      <c r="AD580" s="71"/>
      <c r="AE580" s="71"/>
      <c r="AF580" s="71"/>
      <c r="AG580" s="71"/>
      <c r="AH580" s="71"/>
      <c r="AI580" s="71"/>
      <c r="AJ580" s="71"/>
      <c r="AK580" s="71"/>
      <c r="AL580" s="71"/>
      <c r="AM580" s="71"/>
      <c r="AN580" s="71"/>
      <c r="AO580" s="71"/>
      <c r="AP580" s="71"/>
      <c r="AQ580" s="71"/>
      <c r="AR580" s="71"/>
      <c r="AS580" s="71"/>
      <c r="AT580" s="71"/>
    </row>
    <row r="581" spans="1:46" s="89" customFormat="1" ht="15.65" hidden="1" customHeight="1" x14ac:dyDescent="0.35">
      <c r="A581" s="175" t="s">
        <v>200</v>
      </c>
      <c r="B581" s="175"/>
      <c r="C581" s="167" t="s">
        <v>518</v>
      </c>
      <c r="D581" s="167" t="s">
        <v>427</v>
      </c>
      <c r="E581" s="170" t="s">
        <v>369</v>
      </c>
      <c r="F581" s="174"/>
      <c r="G581" s="176">
        <v>40.229999999999997</v>
      </c>
      <c r="H581" s="176">
        <f t="shared" si="3"/>
        <v>42.98</v>
      </c>
      <c r="I581" s="177"/>
      <c r="J581" s="150" t="s">
        <v>432</v>
      </c>
      <c r="K581" s="178">
        <v>44196</v>
      </c>
      <c r="L581" s="150"/>
      <c r="M581" s="150" t="s">
        <v>20</v>
      </c>
      <c r="N581" s="150" t="s">
        <v>519</v>
      </c>
      <c r="O581" s="71"/>
      <c r="P581" s="71"/>
      <c r="Q581" s="71"/>
      <c r="R581" s="71"/>
      <c r="S581" s="71"/>
      <c r="T581" s="71"/>
      <c r="U581" s="71"/>
      <c r="V581" s="71"/>
      <c r="W581" s="71"/>
      <c r="X581" s="71"/>
      <c r="Y581" s="71"/>
      <c r="Z581" s="71"/>
      <c r="AA581" s="71"/>
      <c r="AB581" s="71"/>
      <c r="AC581" s="71"/>
      <c r="AD581" s="71"/>
      <c r="AE581" s="71"/>
      <c r="AF581" s="71"/>
      <c r="AG581" s="71"/>
      <c r="AH581" s="71"/>
      <c r="AI581" s="71"/>
      <c r="AJ581" s="71"/>
      <c r="AK581" s="71"/>
      <c r="AL581" s="71"/>
      <c r="AM581" s="71"/>
      <c r="AN581" s="71"/>
      <c r="AO581" s="71"/>
      <c r="AP581" s="71"/>
      <c r="AQ581" s="71"/>
      <c r="AR581" s="71"/>
      <c r="AS581" s="71"/>
      <c r="AT581" s="71"/>
    </row>
    <row r="582" spans="1:46" s="89" customFormat="1" ht="15.65" hidden="1" customHeight="1" x14ac:dyDescent="0.35">
      <c r="A582" s="180" t="s">
        <v>200</v>
      </c>
      <c r="B582" s="180"/>
      <c r="C582" s="181" t="s">
        <v>518</v>
      </c>
      <c r="D582" s="167" t="s">
        <v>427</v>
      </c>
      <c r="E582" s="170" t="s">
        <v>369</v>
      </c>
      <c r="F582" s="174"/>
      <c r="G582" s="171">
        <v>40.229999999999997</v>
      </c>
      <c r="H582" s="171">
        <f t="shared" si="3"/>
        <v>42.98</v>
      </c>
      <c r="I582" s="172"/>
      <c r="J582" s="99" t="s">
        <v>428</v>
      </c>
      <c r="K582" s="107">
        <v>44561</v>
      </c>
      <c r="L582" s="99"/>
      <c r="M582" s="99" t="s">
        <v>20</v>
      </c>
      <c r="N582" s="99" t="s">
        <v>457</v>
      </c>
      <c r="O582" s="71"/>
      <c r="P582" s="71"/>
      <c r="Q582" s="71"/>
      <c r="R582" s="71"/>
      <c r="S582" s="71"/>
      <c r="T582" s="71"/>
      <c r="U582" s="71"/>
      <c r="V582" s="71"/>
      <c r="W582" s="71"/>
      <c r="X582" s="71"/>
      <c r="Y582" s="71"/>
      <c r="Z582" s="71"/>
      <c r="AA582" s="71"/>
      <c r="AB582" s="71"/>
      <c r="AC582" s="71"/>
      <c r="AD582" s="71"/>
      <c r="AE582" s="71"/>
      <c r="AF582" s="71"/>
      <c r="AG582" s="71"/>
      <c r="AH582" s="71"/>
      <c r="AI582" s="71"/>
      <c r="AJ582" s="71"/>
      <c r="AK582" s="71"/>
      <c r="AL582" s="71"/>
      <c r="AM582" s="71"/>
      <c r="AN582" s="71"/>
      <c r="AO582" s="71"/>
      <c r="AP582" s="71"/>
      <c r="AQ582" s="71"/>
      <c r="AR582" s="71"/>
      <c r="AS582" s="71"/>
      <c r="AT582" s="71"/>
    </row>
    <row r="583" spans="1:46" s="89" customFormat="1" ht="15.65" hidden="1" customHeight="1" x14ac:dyDescent="0.35">
      <c r="A583" s="180" t="s">
        <v>520</v>
      </c>
      <c r="B583" s="180"/>
      <c r="C583" s="181" t="s">
        <v>521</v>
      </c>
      <c r="D583" s="167" t="s">
        <v>427</v>
      </c>
      <c r="E583" s="167" t="s">
        <v>369</v>
      </c>
      <c r="F583" s="174"/>
      <c r="G583" s="171">
        <v>139.35</v>
      </c>
      <c r="H583" s="171">
        <f t="shared" si="3"/>
        <v>142.1</v>
      </c>
      <c r="I583" s="172"/>
      <c r="J583" s="99" t="s">
        <v>432</v>
      </c>
      <c r="K583" s="107">
        <v>44561</v>
      </c>
      <c r="L583" s="99"/>
      <c r="M583" s="99" t="s">
        <v>20</v>
      </c>
      <c r="N583" s="99" t="s">
        <v>433</v>
      </c>
      <c r="O583" s="71"/>
      <c r="P583" s="71"/>
      <c r="Q583" s="71"/>
      <c r="R583" s="71"/>
      <c r="S583" s="71"/>
      <c r="T583" s="71"/>
      <c r="U583" s="71"/>
      <c r="V583" s="71"/>
      <c r="W583" s="71"/>
      <c r="X583" s="71"/>
      <c r="Y583" s="71"/>
      <c r="Z583" s="71"/>
      <c r="AA583" s="71"/>
      <c r="AB583" s="71"/>
      <c r="AC583" s="71"/>
      <c r="AD583" s="71"/>
      <c r="AE583" s="71"/>
      <c r="AF583" s="71"/>
      <c r="AG583" s="71"/>
      <c r="AH583" s="71"/>
      <c r="AI583" s="71"/>
      <c r="AJ583" s="71"/>
      <c r="AK583" s="71"/>
      <c r="AL583" s="71"/>
      <c r="AM583" s="71"/>
      <c r="AN583" s="71"/>
      <c r="AO583" s="71"/>
      <c r="AP583" s="71"/>
      <c r="AQ583" s="71"/>
      <c r="AR583" s="71"/>
      <c r="AS583" s="71"/>
      <c r="AT583" s="71"/>
    </row>
    <row r="584" spans="1:46" s="89" customFormat="1" ht="15.65" hidden="1" customHeight="1" x14ac:dyDescent="0.35">
      <c r="A584" s="180" t="s">
        <v>522</v>
      </c>
      <c r="B584" s="180"/>
      <c r="C584" s="181" t="s">
        <v>523</v>
      </c>
      <c r="D584" s="167" t="s">
        <v>427</v>
      </c>
      <c r="E584" s="167" t="s">
        <v>369</v>
      </c>
      <c r="F584" s="174"/>
      <c r="G584" s="171">
        <v>113.3</v>
      </c>
      <c r="H584" s="171">
        <f t="shared" si="3"/>
        <v>116.05</v>
      </c>
      <c r="I584" s="172"/>
      <c r="J584" s="99" t="s">
        <v>428</v>
      </c>
      <c r="K584" s="107">
        <v>44561</v>
      </c>
      <c r="L584" s="169" t="s">
        <v>524</v>
      </c>
      <c r="M584" s="99"/>
      <c r="N584" s="173" t="s">
        <v>439</v>
      </c>
      <c r="O584" s="71"/>
      <c r="P584" s="71"/>
      <c r="Q584" s="71"/>
      <c r="R584" s="71"/>
      <c r="S584" s="71"/>
      <c r="T584" s="71"/>
      <c r="U584" s="71"/>
      <c r="V584" s="71"/>
      <c r="W584" s="71"/>
      <c r="X584" s="71"/>
      <c r="Y584" s="71"/>
      <c r="Z584" s="71"/>
      <c r="AA584" s="71"/>
      <c r="AB584" s="71"/>
      <c r="AC584" s="71"/>
      <c r="AD584" s="71"/>
      <c r="AE584" s="71"/>
      <c r="AF584" s="71"/>
      <c r="AG584" s="71"/>
      <c r="AH584" s="71"/>
      <c r="AI584" s="71"/>
      <c r="AJ584" s="71"/>
      <c r="AK584" s="71"/>
      <c r="AL584" s="71"/>
      <c r="AM584" s="71"/>
      <c r="AN584" s="71"/>
      <c r="AO584" s="71"/>
      <c r="AP584" s="71"/>
      <c r="AQ584" s="71"/>
      <c r="AR584" s="71"/>
      <c r="AS584" s="71"/>
      <c r="AT584" s="71"/>
    </row>
    <row r="585" spans="1:46" s="89" customFormat="1" ht="15.65" hidden="1" customHeight="1" x14ac:dyDescent="0.35">
      <c r="A585" s="180" t="s">
        <v>525</v>
      </c>
      <c r="B585" s="180"/>
      <c r="C585" s="181" t="s">
        <v>526</v>
      </c>
      <c r="D585" s="167" t="s">
        <v>427</v>
      </c>
      <c r="E585" s="167" t="s">
        <v>369</v>
      </c>
      <c r="F585" s="174"/>
      <c r="G585" s="171">
        <v>166.35</v>
      </c>
      <c r="H585" s="171">
        <f t="shared" si="3"/>
        <v>169.1</v>
      </c>
      <c r="I585" s="172"/>
      <c r="J585" s="99" t="s">
        <v>428</v>
      </c>
      <c r="K585" s="107">
        <v>44561</v>
      </c>
      <c r="L585" s="99"/>
      <c r="M585" s="99"/>
      <c r="N585" s="99" t="s">
        <v>457</v>
      </c>
      <c r="O585" s="71"/>
      <c r="P585" s="71"/>
      <c r="Q585" s="71"/>
      <c r="R585" s="71"/>
      <c r="S585" s="71"/>
      <c r="T585" s="71"/>
      <c r="U585" s="71"/>
      <c r="V585" s="71"/>
      <c r="W585" s="71"/>
      <c r="X585" s="71"/>
      <c r="Y585" s="71"/>
      <c r="Z585" s="71"/>
      <c r="AA585" s="71"/>
      <c r="AB585" s="71"/>
      <c r="AC585" s="71"/>
      <c r="AD585" s="71"/>
      <c r="AE585" s="71"/>
      <c r="AF585" s="71"/>
      <c r="AG585" s="71"/>
      <c r="AH585" s="71"/>
      <c r="AI585" s="71"/>
      <c r="AJ585" s="71"/>
      <c r="AK585" s="71"/>
      <c r="AL585" s="71"/>
      <c r="AM585" s="71"/>
      <c r="AN585" s="71"/>
      <c r="AO585" s="71"/>
      <c r="AP585" s="71"/>
      <c r="AQ585" s="71"/>
      <c r="AR585" s="71"/>
      <c r="AS585" s="71"/>
      <c r="AT585" s="71"/>
    </row>
    <row r="586" spans="1:46" ht="15.65" hidden="1" customHeight="1" x14ac:dyDescent="0.35">
      <c r="A586" s="188" t="s">
        <v>527</v>
      </c>
      <c r="B586" s="188"/>
      <c r="C586" s="181" t="s">
        <v>528</v>
      </c>
      <c r="D586" s="167" t="s">
        <v>427</v>
      </c>
      <c r="E586" s="167" t="s">
        <v>369</v>
      </c>
      <c r="F586" s="174"/>
      <c r="G586" s="117">
        <v>162</v>
      </c>
      <c r="H586" s="106">
        <v>164.75</v>
      </c>
      <c r="I586" s="99"/>
      <c r="J586" s="99" t="s">
        <v>449</v>
      </c>
      <c r="K586" s="107">
        <v>44561</v>
      </c>
      <c r="L586" s="99"/>
      <c r="M586" s="99" t="s">
        <v>20</v>
      </c>
      <c r="N586" s="99" t="s">
        <v>457</v>
      </c>
    </row>
    <row r="587" spans="1:46" s="89" customFormat="1" ht="15.65" hidden="1" customHeight="1" x14ac:dyDescent="0.35">
      <c r="A587" s="188" t="s">
        <v>527</v>
      </c>
      <c r="B587" s="188"/>
      <c r="C587" s="181" t="s">
        <v>528</v>
      </c>
      <c r="D587" s="167" t="s">
        <v>465</v>
      </c>
      <c r="E587" s="206" t="s">
        <v>369</v>
      </c>
      <c r="F587" s="174"/>
      <c r="G587" s="117">
        <v>185.2</v>
      </c>
      <c r="H587" s="117">
        <f>G587+2.75</f>
        <v>187.95</v>
      </c>
      <c r="I587" s="99"/>
      <c r="J587" s="99" t="s">
        <v>449</v>
      </c>
      <c r="K587" s="107">
        <v>44926</v>
      </c>
      <c r="L587" s="99"/>
      <c r="M587" s="99" t="s">
        <v>20</v>
      </c>
      <c r="N587" s="99" t="s">
        <v>458</v>
      </c>
      <c r="O587" s="71"/>
      <c r="P587" s="71"/>
      <c r="Q587" s="71"/>
      <c r="R587" s="71"/>
      <c r="S587" s="71"/>
      <c r="T587" s="71"/>
      <c r="U587" s="71"/>
      <c r="V587" s="71"/>
      <c r="W587" s="71"/>
      <c r="X587" s="71"/>
      <c r="Y587" s="71"/>
      <c r="Z587" s="71"/>
      <c r="AA587" s="71"/>
      <c r="AB587" s="71"/>
      <c r="AC587" s="71"/>
      <c r="AD587" s="71"/>
      <c r="AE587" s="71"/>
      <c r="AF587" s="71"/>
      <c r="AG587" s="71"/>
      <c r="AH587" s="71"/>
      <c r="AI587" s="71"/>
      <c r="AJ587" s="71"/>
      <c r="AK587" s="71"/>
      <c r="AL587" s="71"/>
      <c r="AM587" s="71"/>
      <c r="AN587" s="71"/>
      <c r="AO587" s="71"/>
      <c r="AP587" s="71"/>
      <c r="AQ587" s="71"/>
      <c r="AR587" s="71"/>
      <c r="AS587" s="71"/>
      <c r="AT587" s="71"/>
    </row>
    <row r="588" spans="1:46" s="89" customFormat="1" ht="15.65" hidden="1" customHeight="1" x14ac:dyDescent="0.35">
      <c r="A588" s="180" t="s">
        <v>529</v>
      </c>
      <c r="B588" s="180"/>
      <c r="C588" s="181" t="s">
        <v>530</v>
      </c>
      <c r="D588" s="167" t="s">
        <v>427</v>
      </c>
      <c r="E588" s="167" t="s">
        <v>369</v>
      </c>
      <c r="F588" s="174"/>
      <c r="G588" s="171">
        <v>97</v>
      </c>
      <c r="H588" s="171">
        <f>G588+2.75</f>
        <v>99.75</v>
      </c>
      <c r="I588" s="172"/>
      <c r="J588" s="99" t="s">
        <v>449</v>
      </c>
      <c r="K588" s="107">
        <v>44561</v>
      </c>
      <c r="L588" s="99" t="s">
        <v>494</v>
      </c>
      <c r="M588" s="99" t="s">
        <v>20</v>
      </c>
      <c r="N588" s="99" t="s">
        <v>457</v>
      </c>
      <c r="O588" s="71"/>
      <c r="P588" s="71"/>
      <c r="Q588" s="71"/>
      <c r="R588" s="71"/>
      <c r="S588" s="71"/>
      <c r="T588" s="71"/>
      <c r="U588" s="71"/>
      <c r="V588" s="71"/>
      <c r="W588" s="71"/>
      <c r="X588" s="71"/>
      <c r="Y588" s="71"/>
      <c r="Z588" s="71"/>
      <c r="AA588" s="71"/>
      <c r="AB588" s="71"/>
      <c r="AC588" s="71"/>
      <c r="AD588" s="71"/>
      <c r="AE588" s="71"/>
      <c r="AF588" s="71"/>
      <c r="AG588" s="71"/>
      <c r="AH588" s="71"/>
      <c r="AI588" s="71"/>
      <c r="AJ588" s="71"/>
      <c r="AK588" s="71"/>
      <c r="AL588" s="71"/>
      <c r="AM588" s="71"/>
      <c r="AN588" s="71"/>
      <c r="AO588" s="71"/>
      <c r="AP588" s="71"/>
      <c r="AQ588" s="71"/>
      <c r="AR588" s="71"/>
      <c r="AS588" s="71"/>
      <c r="AT588" s="71"/>
    </row>
    <row r="589" spans="1:46" s="89" customFormat="1" ht="15.65" hidden="1" customHeight="1" x14ac:dyDescent="0.35">
      <c r="A589" s="180" t="s">
        <v>529</v>
      </c>
      <c r="B589" s="180"/>
      <c r="C589" s="181" t="s">
        <v>530</v>
      </c>
      <c r="D589" s="167" t="s">
        <v>427</v>
      </c>
      <c r="E589" s="167" t="s">
        <v>369</v>
      </c>
      <c r="F589" s="174"/>
      <c r="G589" s="171">
        <v>97</v>
      </c>
      <c r="H589" s="171">
        <f>G589+2.75</f>
        <v>99.75</v>
      </c>
      <c r="I589" s="172"/>
      <c r="J589" s="99" t="s">
        <v>428</v>
      </c>
      <c r="K589" s="107">
        <v>44196</v>
      </c>
      <c r="L589" s="99"/>
      <c r="M589" s="99" t="s">
        <v>20</v>
      </c>
      <c r="N589" s="99" t="s">
        <v>429</v>
      </c>
      <c r="O589" s="71"/>
      <c r="P589" s="71"/>
      <c r="Q589" s="71"/>
      <c r="R589" s="71"/>
      <c r="S589" s="71"/>
      <c r="T589" s="71"/>
      <c r="U589" s="71"/>
      <c r="V589" s="71"/>
      <c r="W589" s="71"/>
      <c r="X589" s="71"/>
      <c r="Y589" s="71"/>
      <c r="Z589" s="71"/>
      <c r="AA589" s="71"/>
      <c r="AB589" s="71"/>
      <c r="AC589" s="71"/>
      <c r="AD589" s="71"/>
      <c r="AE589" s="71"/>
      <c r="AF589" s="71"/>
      <c r="AG589" s="71"/>
      <c r="AH589" s="71"/>
      <c r="AI589" s="71"/>
      <c r="AJ589" s="71"/>
      <c r="AK589" s="71"/>
      <c r="AL589" s="71"/>
      <c r="AM589" s="71"/>
      <c r="AN589" s="71"/>
      <c r="AO589" s="71"/>
      <c r="AP589" s="71"/>
      <c r="AQ589" s="71"/>
      <c r="AR589" s="71"/>
      <c r="AS589" s="71"/>
      <c r="AT589" s="71"/>
    </row>
    <row r="590" spans="1:46" s="89" customFormat="1" ht="15.65" hidden="1" customHeight="1" x14ac:dyDescent="0.35">
      <c r="A590" s="188" t="s">
        <v>531</v>
      </c>
      <c r="B590" s="188"/>
      <c r="C590" s="99" t="s">
        <v>532</v>
      </c>
      <c r="D590" s="150" t="s">
        <v>427</v>
      </c>
      <c r="E590" s="150" t="s">
        <v>369</v>
      </c>
      <c r="F590" s="174"/>
      <c r="G590" s="106">
        <v>73.81</v>
      </c>
      <c r="H590" s="106">
        <v>76.56</v>
      </c>
      <c r="I590" s="99"/>
      <c r="J590" s="99" t="s">
        <v>477</v>
      </c>
      <c r="K590" s="107">
        <v>44377</v>
      </c>
      <c r="L590" s="169" t="s">
        <v>486</v>
      </c>
      <c r="M590" s="99"/>
      <c r="N590" s="108" t="s">
        <v>443</v>
      </c>
      <c r="O590" s="71"/>
      <c r="P590" s="71"/>
      <c r="Q590" s="71"/>
      <c r="R590" s="71"/>
      <c r="S590" s="71"/>
      <c r="T590" s="71"/>
      <c r="U590" s="71"/>
      <c r="V590" s="71"/>
      <c r="W590" s="71"/>
      <c r="X590" s="71"/>
      <c r="Y590" s="71"/>
      <c r="Z590" s="71"/>
      <c r="AA590" s="71"/>
      <c r="AB590" s="71"/>
      <c r="AC590" s="71"/>
      <c r="AD590" s="71"/>
      <c r="AE590" s="71"/>
      <c r="AF590" s="71"/>
      <c r="AG590" s="71"/>
      <c r="AH590" s="71"/>
      <c r="AI590" s="71"/>
      <c r="AJ590" s="71"/>
      <c r="AK590" s="71"/>
      <c r="AL590" s="71"/>
      <c r="AM590" s="71"/>
      <c r="AN590" s="71"/>
      <c r="AO590" s="71"/>
      <c r="AP590" s="71"/>
      <c r="AQ590" s="71"/>
      <c r="AR590" s="71"/>
      <c r="AS590" s="71"/>
      <c r="AT590" s="71"/>
    </row>
    <row r="591" spans="1:46" s="89" customFormat="1" ht="15.65" hidden="1" customHeight="1" x14ac:dyDescent="0.35">
      <c r="A591" s="188" t="s">
        <v>531</v>
      </c>
      <c r="B591" s="188"/>
      <c r="C591" s="99" t="s">
        <v>532</v>
      </c>
      <c r="D591" s="150" t="s">
        <v>444</v>
      </c>
      <c r="E591" s="170" t="s">
        <v>369</v>
      </c>
      <c r="F591" s="174"/>
      <c r="G591" s="106">
        <v>73.81</v>
      </c>
      <c r="H591" s="106">
        <v>76.56</v>
      </c>
      <c r="I591" s="99"/>
      <c r="J591" s="99" t="s">
        <v>477</v>
      </c>
      <c r="K591" s="107">
        <v>44926</v>
      </c>
      <c r="L591" s="169"/>
      <c r="M591" s="99"/>
      <c r="N591" s="108" t="s">
        <v>418</v>
      </c>
      <c r="O591" s="71"/>
      <c r="P591" s="71"/>
      <c r="Q591" s="71"/>
      <c r="R591" s="71"/>
      <c r="S591" s="71"/>
      <c r="T591" s="71"/>
      <c r="U591" s="71"/>
      <c r="V591" s="71"/>
      <c r="W591" s="71"/>
      <c r="X591" s="71"/>
      <c r="Y591" s="71"/>
      <c r="Z591" s="71"/>
      <c r="AA591" s="71"/>
      <c r="AB591" s="71"/>
      <c r="AC591" s="71"/>
      <c r="AD591" s="71"/>
      <c r="AE591" s="71"/>
      <c r="AF591" s="71"/>
      <c r="AG591" s="71"/>
      <c r="AH591" s="71"/>
      <c r="AI591" s="71"/>
      <c r="AJ591" s="71"/>
      <c r="AK591" s="71"/>
      <c r="AL591" s="71"/>
      <c r="AM591" s="71"/>
      <c r="AN591" s="71"/>
      <c r="AO591" s="71"/>
      <c r="AP591" s="71"/>
      <c r="AQ591" s="71"/>
      <c r="AR591" s="71"/>
      <c r="AS591" s="71"/>
      <c r="AT591" s="71"/>
    </row>
    <row r="592" spans="1:46" ht="15.65" hidden="1" customHeight="1" x14ac:dyDescent="0.35">
      <c r="A592" s="175" t="s">
        <v>222</v>
      </c>
      <c r="B592" s="175"/>
      <c r="C592" s="167" t="s">
        <v>533</v>
      </c>
      <c r="D592" s="167" t="s">
        <v>427</v>
      </c>
      <c r="E592" s="167" t="s">
        <v>369</v>
      </c>
      <c r="F592" s="174"/>
      <c r="G592" s="176">
        <v>39.57</v>
      </c>
      <c r="H592" s="176">
        <f>G592+2.75</f>
        <v>42.32</v>
      </c>
      <c r="I592" s="177"/>
      <c r="J592" s="150" t="s">
        <v>534</v>
      </c>
      <c r="K592" s="178">
        <v>44043</v>
      </c>
      <c r="L592" s="150" t="s">
        <v>427</v>
      </c>
      <c r="M592" s="99"/>
      <c r="N592" s="99" t="s">
        <v>427</v>
      </c>
    </row>
    <row r="593" spans="1:46" s="89" customFormat="1" ht="15.65" hidden="1" customHeight="1" x14ac:dyDescent="0.35">
      <c r="A593" s="180" t="s">
        <v>535</v>
      </c>
      <c r="B593" s="180"/>
      <c r="C593" s="181" t="s">
        <v>536</v>
      </c>
      <c r="D593" s="167" t="s">
        <v>537</v>
      </c>
      <c r="E593" s="167" t="s">
        <v>369</v>
      </c>
      <c r="F593" s="174"/>
      <c r="G593" s="171">
        <v>84.2</v>
      </c>
      <c r="H593" s="171">
        <f>G593+2.75</f>
        <v>86.95</v>
      </c>
      <c r="I593" s="172"/>
      <c r="J593" s="99" t="s">
        <v>428</v>
      </c>
      <c r="K593" s="107">
        <v>44196</v>
      </c>
      <c r="L593" s="150" t="s">
        <v>538</v>
      </c>
      <c r="M593" s="99"/>
      <c r="N593" s="150" t="s">
        <v>537</v>
      </c>
      <c r="O593" s="71"/>
      <c r="P593" s="71"/>
      <c r="Q593" s="71"/>
      <c r="R593" s="71"/>
      <c r="S593" s="71"/>
      <c r="T593" s="71"/>
      <c r="U593" s="71"/>
      <c r="V593" s="71"/>
      <c r="W593" s="71"/>
      <c r="X593" s="71"/>
      <c r="Y593" s="71"/>
      <c r="Z593" s="71"/>
      <c r="AA593" s="71"/>
      <c r="AB593" s="71"/>
      <c r="AC593" s="71"/>
      <c r="AD593" s="71"/>
      <c r="AE593" s="71"/>
      <c r="AF593" s="71"/>
      <c r="AG593" s="71"/>
      <c r="AH593" s="71"/>
      <c r="AI593" s="71"/>
      <c r="AJ593" s="71"/>
      <c r="AK593" s="71"/>
      <c r="AL593" s="71"/>
      <c r="AM593" s="71"/>
      <c r="AN593" s="71"/>
      <c r="AO593" s="71"/>
      <c r="AP593" s="71"/>
      <c r="AQ593" s="71"/>
      <c r="AR593" s="71"/>
      <c r="AS593" s="71"/>
      <c r="AT593" s="71"/>
    </row>
    <row r="594" spans="1:46" s="89" customFormat="1" ht="15.65" hidden="1" customHeight="1" x14ac:dyDescent="0.35">
      <c r="A594" s="188" t="s">
        <v>539</v>
      </c>
      <c r="B594" s="188"/>
      <c r="C594" s="191" t="s">
        <v>540</v>
      </c>
      <c r="D594" s="192" t="s">
        <v>427</v>
      </c>
      <c r="E594" s="192" t="s">
        <v>369</v>
      </c>
      <c r="F594" s="174"/>
      <c r="G594" s="203">
        <v>71.2</v>
      </c>
      <c r="H594" s="203">
        <v>73.95</v>
      </c>
      <c r="I594" s="207"/>
      <c r="J594" s="99" t="s">
        <v>428</v>
      </c>
      <c r="K594" s="107">
        <v>44196</v>
      </c>
      <c r="L594" s="99"/>
      <c r="M594" s="99"/>
      <c r="N594" s="108" t="s">
        <v>429</v>
      </c>
      <c r="O594" s="71"/>
      <c r="P594" s="71"/>
      <c r="Q594" s="71"/>
      <c r="R594" s="71"/>
      <c r="S594" s="71"/>
      <c r="T594" s="71"/>
      <c r="U594" s="71"/>
      <c r="V594" s="71"/>
      <c r="W594" s="71"/>
      <c r="X594" s="71"/>
      <c r="Y594" s="71"/>
      <c r="Z594" s="71"/>
      <c r="AA594" s="71"/>
      <c r="AB594" s="71"/>
      <c r="AC594" s="71"/>
      <c r="AD594" s="71"/>
      <c r="AE594" s="71"/>
      <c r="AF594" s="71"/>
      <c r="AG594" s="71"/>
      <c r="AH594" s="71"/>
      <c r="AI594" s="71"/>
      <c r="AJ594" s="71"/>
      <c r="AK594" s="71"/>
      <c r="AL594" s="71"/>
      <c r="AM594" s="71"/>
      <c r="AN594" s="71"/>
      <c r="AO594" s="71"/>
      <c r="AP594" s="71"/>
      <c r="AQ594" s="71"/>
      <c r="AR594" s="71"/>
      <c r="AS594" s="71"/>
      <c r="AT594" s="71"/>
    </row>
    <row r="595" spans="1:46" s="89" customFormat="1" ht="15.65" hidden="1" customHeight="1" x14ac:dyDescent="0.35">
      <c r="A595" s="188" t="s">
        <v>539</v>
      </c>
      <c r="B595" s="188"/>
      <c r="C595" s="191" t="s">
        <v>540</v>
      </c>
      <c r="D595" s="192" t="s">
        <v>427</v>
      </c>
      <c r="E595" s="192" t="s">
        <v>369</v>
      </c>
      <c r="F595" s="174"/>
      <c r="G595" s="203">
        <v>71.2</v>
      </c>
      <c r="H595" s="203">
        <v>73.95</v>
      </c>
      <c r="I595" s="207"/>
      <c r="J595" s="99" t="s">
        <v>428</v>
      </c>
      <c r="K595" s="107">
        <v>44561</v>
      </c>
      <c r="L595" s="169" t="s">
        <v>541</v>
      </c>
      <c r="M595" s="99"/>
      <c r="N595" s="108" t="s">
        <v>443</v>
      </c>
      <c r="O595" s="71"/>
      <c r="P595" s="71"/>
      <c r="Q595" s="71"/>
      <c r="R595" s="71"/>
      <c r="S595" s="71"/>
      <c r="T595" s="71"/>
      <c r="U595" s="71"/>
      <c r="V595" s="71"/>
      <c r="W595" s="71"/>
      <c r="X595" s="71"/>
      <c r="Y595" s="71"/>
      <c r="Z595" s="71"/>
      <c r="AA595" s="71"/>
      <c r="AB595" s="71"/>
      <c r="AC595" s="71"/>
      <c r="AD595" s="71"/>
      <c r="AE595" s="71"/>
      <c r="AF595" s="71"/>
      <c r="AG595" s="71"/>
      <c r="AH595" s="71"/>
      <c r="AI595" s="71"/>
      <c r="AJ595" s="71"/>
      <c r="AK595" s="71"/>
      <c r="AL595" s="71"/>
      <c r="AM595" s="71"/>
      <c r="AN595" s="71"/>
      <c r="AO595" s="71"/>
      <c r="AP595" s="71"/>
      <c r="AQ595" s="71"/>
      <c r="AR595" s="71"/>
      <c r="AS595" s="71"/>
      <c r="AT595" s="71"/>
    </row>
    <row r="596" spans="1:46" s="89" customFormat="1" ht="15.65" hidden="1" customHeight="1" x14ac:dyDescent="0.35">
      <c r="A596" s="188" t="s">
        <v>539</v>
      </c>
      <c r="B596" s="188"/>
      <c r="C596" s="191" t="s">
        <v>540</v>
      </c>
      <c r="D596" s="192" t="s">
        <v>444</v>
      </c>
      <c r="E596" s="192" t="s">
        <v>369</v>
      </c>
      <c r="F596" s="174"/>
      <c r="G596" s="203">
        <v>71.2</v>
      </c>
      <c r="H596" s="203">
        <v>73.95</v>
      </c>
      <c r="I596" s="207"/>
      <c r="J596" s="99" t="s">
        <v>428</v>
      </c>
      <c r="K596" s="107">
        <v>44926</v>
      </c>
      <c r="L596" s="169"/>
      <c r="M596" s="99"/>
      <c r="N596" s="108" t="s">
        <v>418</v>
      </c>
      <c r="O596" s="71"/>
      <c r="P596" s="71"/>
      <c r="Q596" s="71"/>
      <c r="R596" s="71"/>
      <c r="S596" s="71"/>
      <c r="T596" s="71"/>
      <c r="U596" s="71"/>
      <c r="V596" s="71"/>
      <c r="W596" s="71"/>
      <c r="X596" s="71"/>
      <c r="Y596" s="71"/>
      <c r="Z596" s="71"/>
      <c r="AA596" s="71"/>
      <c r="AB596" s="71"/>
      <c r="AC596" s="71"/>
      <c r="AD596" s="71"/>
      <c r="AE596" s="71"/>
      <c r="AF596" s="71"/>
      <c r="AG596" s="71"/>
      <c r="AH596" s="71"/>
      <c r="AI596" s="71"/>
      <c r="AJ596" s="71"/>
      <c r="AK596" s="71"/>
      <c r="AL596" s="71"/>
      <c r="AM596" s="71"/>
      <c r="AN596" s="71"/>
      <c r="AO596" s="71"/>
      <c r="AP596" s="71"/>
      <c r="AQ596" s="71"/>
      <c r="AR596" s="71"/>
      <c r="AS596" s="71"/>
      <c r="AT596" s="71"/>
    </row>
    <row r="597" spans="1:46" s="89" customFormat="1" ht="15.65" hidden="1" customHeight="1" x14ac:dyDescent="0.35">
      <c r="A597" s="180" t="s">
        <v>542</v>
      </c>
      <c r="B597" s="180"/>
      <c r="C597" s="181" t="s">
        <v>543</v>
      </c>
      <c r="D597" s="167" t="s">
        <v>537</v>
      </c>
      <c r="E597" s="167" t="s">
        <v>369</v>
      </c>
      <c r="F597" s="174"/>
      <c r="G597" s="171">
        <v>40.6</v>
      </c>
      <c r="H597" s="171">
        <f t="shared" ref="H597:H602" si="4">G597+2.75</f>
        <v>43.35</v>
      </c>
      <c r="I597" s="172"/>
      <c r="J597" s="99" t="s">
        <v>428</v>
      </c>
      <c r="K597" s="107">
        <v>44196</v>
      </c>
      <c r="L597" s="99" t="s">
        <v>538</v>
      </c>
      <c r="M597" s="99"/>
      <c r="N597" s="99" t="s">
        <v>537</v>
      </c>
      <c r="O597" s="71"/>
      <c r="P597" s="71"/>
      <c r="Q597" s="71"/>
      <c r="R597" s="71"/>
      <c r="S597" s="71"/>
      <c r="T597" s="71"/>
      <c r="U597" s="71"/>
      <c r="V597" s="71"/>
      <c r="W597" s="71"/>
      <c r="X597" s="71"/>
      <c r="Y597" s="71"/>
      <c r="Z597" s="71"/>
      <c r="AA597" s="71"/>
      <c r="AB597" s="71"/>
      <c r="AC597" s="71"/>
      <c r="AD597" s="71"/>
      <c r="AE597" s="71"/>
      <c r="AF597" s="71"/>
      <c r="AG597" s="71"/>
      <c r="AH597" s="71"/>
      <c r="AI597" s="71"/>
      <c r="AJ597" s="71"/>
      <c r="AK597" s="71"/>
      <c r="AL597" s="71"/>
      <c r="AM597" s="71"/>
      <c r="AN597" s="71"/>
      <c r="AO597" s="71"/>
      <c r="AP597" s="71"/>
      <c r="AQ597" s="71"/>
      <c r="AR597" s="71"/>
      <c r="AS597" s="71"/>
      <c r="AT597" s="71"/>
    </row>
    <row r="598" spans="1:46" s="89" customFormat="1" ht="15.65" hidden="1" customHeight="1" x14ac:dyDescent="0.35">
      <c r="A598" s="180" t="s">
        <v>229</v>
      </c>
      <c r="B598" s="180"/>
      <c r="C598" s="181" t="s">
        <v>544</v>
      </c>
      <c r="D598" s="167" t="s">
        <v>427</v>
      </c>
      <c r="E598" s="167" t="s">
        <v>369</v>
      </c>
      <c r="F598" s="174"/>
      <c r="G598" s="171">
        <v>61.15</v>
      </c>
      <c r="H598" s="171">
        <f t="shared" si="4"/>
        <v>63.9</v>
      </c>
      <c r="I598" s="172"/>
      <c r="J598" s="99" t="s">
        <v>428</v>
      </c>
      <c r="K598" s="107">
        <v>44561</v>
      </c>
      <c r="L598" s="99"/>
      <c r="M598" s="99"/>
      <c r="N598" s="99" t="s">
        <v>457</v>
      </c>
      <c r="O598" s="71"/>
      <c r="P598" s="71"/>
      <c r="Q598" s="71"/>
      <c r="R598" s="71"/>
      <c r="S598" s="71"/>
      <c r="T598" s="71"/>
      <c r="U598" s="71"/>
      <c r="V598" s="71"/>
      <c r="W598" s="71"/>
      <c r="X598" s="71"/>
      <c r="Y598" s="71"/>
      <c r="Z598" s="71"/>
      <c r="AA598" s="71"/>
      <c r="AB598" s="71"/>
      <c r="AC598" s="71"/>
      <c r="AD598" s="71"/>
      <c r="AE598" s="71"/>
      <c r="AF598" s="71"/>
      <c r="AG598" s="71"/>
      <c r="AH598" s="71"/>
      <c r="AI598" s="71"/>
      <c r="AJ598" s="71"/>
      <c r="AK598" s="71"/>
      <c r="AL598" s="71"/>
      <c r="AM598" s="71"/>
      <c r="AN598" s="71"/>
      <c r="AO598" s="71"/>
      <c r="AP598" s="71"/>
      <c r="AQ598" s="71"/>
      <c r="AR598" s="71"/>
      <c r="AS598" s="71"/>
      <c r="AT598" s="71"/>
    </row>
    <row r="599" spans="1:46" s="89" customFormat="1" ht="15.65" hidden="1" customHeight="1" x14ac:dyDescent="0.35">
      <c r="A599" s="188" t="s">
        <v>545</v>
      </c>
      <c r="B599" s="188"/>
      <c r="C599" s="181" t="s">
        <v>546</v>
      </c>
      <c r="D599" s="167" t="s">
        <v>427</v>
      </c>
      <c r="E599" s="167" t="s">
        <v>369</v>
      </c>
      <c r="F599" s="174"/>
      <c r="G599" s="171">
        <v>61.9</v>
      </c>
      <c r="H599" s="171">
        <f t="shared" si="4"/>
        <v>64.650000000000006</v>
      </c>
      <c r="I599" s="172"/>
      <c r="J599" s="99" t="s">
        <v>428</v>
      </c>
      <c r="K599" s="107">
        <v>44196</v>
      </c>
      <c r="L599" s="99"/>
      <c r="M599" s="99"/>
      <c r="N599" s="99" t="s">
        <v>429</v>
      </c>
      <c r="O599" s="71"/>
      <c r="P599" s="71"/>
      <c r="Q599" s="71"/>
      <c r="R599" s="71"/>
      <c r="S599" s="71"/>
      <c r="T599" s="71"/>
      <c r="U599" s="71"/>
      <c r="V599" s="71"/>
      <c r="W599" s="71"/>
      <c r="X599" s="71"/>
      <c r="Y599" s="71"/>
      <c r="Z599" s="71"/>
      <c r="AA599" s="71"/>
      <c r="AB599" s="71"/>
      <c r="AC599" s="71"/>
      <c r="AD599" s="71"/>
      <c r="AE599" s="71"/>
      <c r="AF599" s="71"/>
      <c r="AG599" s="71"/>
      <c r="AH599" s="71"/>
      <c r="AI599" s="71"/>
      <c r="AJ599" s="71"/>
      <c r="AK599" s="71"/>
      <c r="AL599" s="71"/>
      <c r="AM599" s="71"/>
      <c r="AN599" s="71"/>
      <c r="AO599" s="71"/>
      <c r="AP599" s="71"/>
      <c r="AQ599" s="71"/>
      <c r="AR599" s="71"/>
      <c r="AS599" s="71"/>
      <c r="AT599" s="71"/>
    </row>
    <row r="600" spans="1:46" s="89" customFormat="1" ht="15.65" hidden="1" customHeight="1" x14ac:dyDescent="0.35">
      <c r="A600" s="188" t="s">
        <v>545</v>
      </c>
      <c r="B600" s="188"/>
      <c r="C600" s="181" t="s">
        <v>546</v>
      </c>
      <c r="D600" s="167" t="s">
        <v>427</v>
      </c>
      <c r="E600" s="167" t="s">
        <v>369</v>
      </c>
      <c r="F600" s="174"/>
      <c r="G600" s="171">
        <v>61.9</v>
      </c>
      <c r="H600" s="171">
        <f t="shared" si="4"/>
        <v>64.650000000000006</v>
      </c>
      <c r="I600" s="172"/>
      <c r="J600" s="99" t="s">
        <v>428</v>
      </c>
      <c r="K600" s="107">
        <v>44561</v>
      </c>
      <c r="L600" s="169" t="s">
        <v>547</v>
      </c>
      <c r="M600" s="99"/>
      <c r="N600" s="99" t="s">
        <v>443</v>
      </c>
      <c r="O600" s="71"/>
      <c r="P600" s="71"/>
      <c r="Q600" s="71"/>
      <c r="R600" s="71"/>
      <c r="S600" s="71"/>
      <c r="T600" s="71"/>
      <c r="U600" s="71"/>
      <c r="V600" s="71"/>
      <c r="W600" s="71"/>
      <c r="X600" s="71"/>
      <c r="Y600" s="71"/>
      <c r="Z600" s="71"/>
      <c r="AA600" s="71"/>
      <c r="AB600" s="71"/>
      <c r="AC600" s="71"/>
      <c r="AD600" s="71"/>
      <c r="AE600" s="71"/>
      <c r="AF600" s="71"/>
      <c r="AG600" s="71"/>
      <c r="AH600" s="71"/>
      <c r="AI600" s="71"/>
      <c r="AJ600" s="71"/>
      <c r="AK600" s="71"/>
      <c r="AL600" s="71"/>
      <c r="AM600" s="71"/>
      <c r="AN600" s="71"/>
      <c r="AO600" s="71"/>
      <c r="AP600" s="71"/>
      <c r="AQ600" s="71"/>
      <c r="AR600" s="71"/>
      <c r="AS600" s="71"/>
      <c r="AT600" s="71"/>
    </row>
    <row r="601" spans="1:46" s="89" customFormat="1" ht="15.65" hidden="1" customHeight="1" x14ac:dyDescent="0.35">
      <c r="A601" s="180" t="s">
        <v>81</v>
      </c>
      <c r="B601" s="180"/>
      <c r="C601" s="181" t="s">
        <v>548</v>
      </c>
      <c r="D601" s="167" t="s">
        <v>427</v>
      </c>
      <c r="E601" s="167" t="s">
        <v>369</v>
      </c>
      <c r="F601" s="174"/>
      <c r="G601" s="171">
        <v>42.35</v>
      </c>
      <c r="H601" s="171">
        <f t="shared" si="4"/>
        <v>45.1</v>
      </c>
      <c r="I601" s="172"/>
      <c r="J601" s="99" t="s">
        <v>509</v>
      </c>
      <c r="K601" s="107">
        <v>44561</v>
      </c>
      <c r="L601" s="99"/>
      <c r="M601" s="99" t="s">
        <v>20</v>
      </c>
      <c r="N601" s="99" t="s">
        <v>457</v>
      </c>
      <c r="O601" s="71"/>
      <c r="P601" s="71"/>
      <c r="Q601" s="71"/>
      <c r="R601" s="71"/>
      <c r="S601" s="71"/>
      <c r="T601" s="71"/>
      <c r="U601" s="71"/>
      <c r="V601" s="71"/>
      <c r="W601" s="71"/>
      <c r="X601" s="71"/>
      <c r="Y601" s="71"/>
      <c r="Z601" s="71"/>
      <c r="AA601" s="71"/>
      <c r="AB601" s="71"/>
      <c r="AC601" s="71"/>
      <c r="AD601" s="71"/>
      <c r="AE601" s="71"/>
      <c r="AF601" s="71"/>
      <c r="AG601" s="71"/>
      <c r="AH601" s="71"/>
      <c r="AI601" s="71"/>
      <c r="AJ601" s="71"/>
      <c r="AK601" s="71"/>
      <c r="AL601" s="71"/>
      <c r="AM601" s="71"/>
      <c r="AN601" s="71"/>
      <c r="AO601" s="71"/>
      <c r="AP601" s="71"/>
      <c r="AQ601" s="71"/>
      <c r="AR601" s="71"/>
      <c r="AS601" s="71"/>
      <c r="AT601" s="71"/>
    </row>
    <row r="602" spans="1:46" ht="15.65" hidden="1" customHeight="1" x14ac:dyDescent="0.35">
      <c r="A602" s="180" t="s">
        <v>81</v>
      </c>
      <c r="B602" s="180"/>
      <c r="C602" s="181" t="s">
        <v>548</v>
      </c>
      <c r="D602" s="167" t="s">
        <v>427</v>
      </c>
      <c r="E602" s="167" t="s">
        <v>369</v>
      </c>
      <c r="F602" s="174"/>
      <c r="G602" s="171">
        <v>42.35</v>
      </c>
      <c r="H602" s="171">
        <f t="shared" si="4"/>
        <v>45.1</v>
      </c>
      <c r="I602" s="172"/>
      <c r="J602" s="99" t="s">
        <v>428</v>
      </c>
      <c r="K602" s="107">
        <v>44196</v>
      </c>
      <c r="L602" s="99"/>
      <c r="M602" s="99" t="s">
        <v>20</v>
      </c>
      <c r="N602" s="99" t="s">
        <v>429</v>
      </c>
    </row>
    <row r="603" spans="1:46" s="89" customFormat="1" ht="15.65" hidden="1" customHeight="1" x14ac:dyDescent="0.35">
      <c r="A603" s="188" t="s">
        <v>235</v>
      </c>
      <c r="B603" s="188"/>
      <c r="C603" s="99" t="s">
        <v>549</v>
      </c>
      <c r="D603" s="150" t="s">
        <v>427</v>
      </c>
      <c r="E603" s="192" t="s">
        <v>369</v>
      </c>
      <c r="F603" s="174"/>
      <c r="G603" s="117">
        <v>34.4</v>
      </c>
      <c r="H603" s="106">
        <v>37.15</v>
      </c>
      <c r="I603" s="99"/>
      <c r="J603" s="99" t="s">
        <v>477</v>
      </c>
      <c r="K603" s="107">
        <v>44377</v>
      </c>
      <c r="L603" s="169" t="s">
        <v>486</v>
      </c>
      <c r="M603" s="99"/>
      <c r="N603" s="108" t="s">
        <v>443</v>
      </c>
      <c r="O603" s="71"/>
      <c r="P603" s="71"/>
      <c r="Q603" s="71"/>
      <c r="R603" s="71"/>
      <c r="S603" s="71"/>
      <c r="T603" s="71"/>
      <c r="U603" s="71"/>
      <c r="V603" s="71"/>
      <c r="W603" s="71"/>
      <c r="X603" s="71"/>
      <c r="Y603" s="71"/>
      <c r="Z603" s="71"/>
      <c r="AA603" s="71"/>
      <c r="AB603" s="71"/>
      <c r="AC603" s="71"/>
      <c r="AD603" s="71"/>
      <c r="AE603" s="71"/>
      <c r="AF603" s="71"/>
      <c r="AG603" s="71"/>
      <c r="AH603" s="71"/>
      <c r="AI603" s="71"/>
      <c r="AJ603" s="71"/>
      <c r="AK603" s="71"/>
      <c r="AL603" s="71"/>
      <c r="AM603" s="71"/>
      <c r="AN603" s="71"/>
      <c r="AO603" s="71"/>
      <c r="AP603" s="71"/>
      <c r="AQ603" s="71"/>
      <c r="AR603" s="71"/>
      <c r="AS603" s="71"/>
      <c r="AT603" s="71"/>
    </row>
    <row r="604" spans="1:46" s="89" customFormat="1" ht="15.65" hidden="1" customHeight="1" x14ac:dyDescent="0.35">
      <c r="A604" s="188" t="s">
        <v>550</v>
      </c>
      <c r="B604" s="188"/>
      <c r="C604" s="169" t="s">
        <v>551</v>
      </c>
      <c r="D604" s="170" t="s">
        <v>427</v>
      </c>
      <c r="E604" s="192" t="s">
        <v>369</v>
      </c>
      <c r="F604" s="174"/>
      <c r="G604" s="106">
        <v>37.92</v>
      </c>
      <c r="H604" s="106">
        <f>G604+2.75</f>
        <v>40.67</v>
      </c>
      <c r="I604" s="99"/>
      <c r="J604" s="99" t="s">
        <v>552</v>
      </c>
      <c r="K604" s="107">
        <v>44561</v>
      </c>
      <c r="L604" s="99"/>
      <c r="M604" s="99" t="s">
        <v>20</v>
      </c>
      <c r="N604" s="108" t="s">
        <v>457</v>
      </c>
      <c r="O604" s="71"/>
      <c r="P604" s="71"/>
      <c r="Q604" s="71"/>
      <c r="R604" s="71"/>
      <c r="S604" s="71"/>
      <c r="T604" s="71"/>
      <c r="U604" s="71"/>
      <c r="V604" s="71"/>
      <c r="W604" s="71"/>
      <c r="X604" s="71"/>
      <c r="Y604" s="71"/>
      <c r="Z604" s="71"/>
      <c r="AA604" s="71"/>
      <c r="AB604" s="71"/>
      <c r="AC604" s="71"/>
      <c r="AD604" s="71"/>
      <c r="AE604" s="71"/>
      <c r="AF604" s="71"/>
      <c r="AG604" s="71"/>
      <c r="AH604" s="71"/>
      <c r="AI604" s="71"/>
      <c r="AJ604" s="71"/>
      <c r="AK604" s="71"/>
      <c r="AL604" s="71"/>
      <c r="AM604" s="71"/>
      <c r="AN604" s="71"/>
      <c r="AO604" s="71"/>
      <c r="AP604" s="71"/>
      <c r="AQ604" s="71"/>
      <c r="AR604" s="71"/>
      <c r="AS604" s="71"/>
      <c r="AT604" s="71"/>
    </row>
    <row r="605" spans="1:46" s="89" customFormat="1" ht="24" hidden="1" customHeight="1" x14ac:dyDescent="0.35">
      <c r="A605" s="188" t="s">
        <v>550</v>
      </c>
      <c r="B605" s="188"/>
      <c r="C605" s="169" t="s">
        <v>551</v>
      </c>
      <c r="D605" s="170" t="s">
        <v>444</v>
      </c>
      <c r="E605" s="192" t="s">
        <v>369</v>
      </c>
      <c r="F605" s="174"/>
      <c r="G605" s="106">
        <v>37.92</v>
      </c>
      <c r="H605" s="106">
        <f>G605+2.75</f>
        <v>40.67</v>
      </c>
      <c r="I605" s="99"/>
      <c r="J605" s="99" t="s">
        <v>552</v>
      </c>
      <c r="K605" s="107">
        <v>44926</v>
      </c>
      <c r="L605" s="99"/>
      <c r="M605" s="99" t="s">
        <v>20</v>
      </c>
      <c r="N605" s="108" t="s">
        <v>458</v>
      </c>
      <c r="O605" s="71"/>
      <c r="P605" s="71"/>
      <c r="Q605" s="71"/>
      <c r="R605" s="71"/>
      <c r="S605" s="71"/>
      <c r="T605" s="71"/>
      <c r="U605" s="71"/>
      <c r="V605" s="71"/>
      <c r="W605" s="71"/>
      <c r="X605" s="71"/>
      <c r="Y605" s="71"/>
      <c r="Z605" s="71"/>
      <c r="AA605" s="71"/>
      <c r="AB605" s="71"/>
      <c r="AC605" s="71"/>
      <c r="AD605" s="71"/>
      <c r="AE605" s="71"/>
      <c r="AF605" s="71"/>
      <c r="AG605" s="71"/>
      <c r="AH605" s="71"/>
      <c r="AI605" s="71"/>
      <c r="AJ605" s="71"/>
      <c r="AK605" s="71"/>
      <c r="AL605" s="71"/>
      <c r="AM605" s="71"/>
      <c r="AN605" s="71"/>
      <c r="AO605" s="71"/>
      <c r="AP605" s="71"/>
      <c r="AQ605" s="71"/>
      <c r="AR605" s="71"/>
      <c r="AS605" s="71"/>
      <c r="AT605" s="71"/>
    </row>
    <row r="606" spans="1:46" ht="15.65" hidden="1" customHeight="1" x14ac:dyDescent="0.35">
      <c r="A606" s="188" t="s">
        <v>553</v>
      </c>
      <c r="B606" s="188"/>
      <c r="C606" s="99" t="s">
        <v>554</v>
      </c>
      <c r="D606" s="150" t="s">
        <v>444</v>
      </c>
      <c r="E606" s="192" t="s">
        <v>369</v>
      </c>
      <c r="F606" s="174"/>
      <c r="G606" s="117">
        <v>196</v>
      </c>
      <c r="H606" s="117">
        <f>G606+2.75</f>
        <v>198.75</v>
      </c>
      <c r="I606" s="99"/>
      <c r="J606" s="99" t="s">
        <v>449</v>
      </c>
      <c r="K606" s="107">
        <v>44926</v>
      </c>
      <c r="L606" s="99"/>
      <c r="M606" s="99"/>
      <c r="N606" s="108" t="s">
        <v>418</v>
      </c>
    </row>
    <row r="607" spans="1:46" ht="15.65" hidden="1" customHeight="1" x14ac:dyDescent="0.35">
      <c r="A607" s="188" t="s">
        <v>374</v>
      </c>
      <c r="B607" s="188"/>
      <c r="C607" s="99" t="s">
        <v>375</v>
      </c>
      <c r="D607" s="150" t="s">
        <v>444</v>
      </c>
      <c r="E607" s="192" t="s">
        <v>369</v>
      </c>
      <c r="F607" s="174"/>
      <c r="G607" s="117">
        <v>70.8</v>
      </c>
      <c r="H607" s="117">
        <f>G607+2.75</f>
        <v>73.55</v>
      </c>
      <c r="I607" s="99"/>
      <c r="J607" s="99" t="s">
        <v>487</v>
      </c>
      <c r="K607" s="107">
        <v>44926</v>
      </c>
      <c r="L607" s="99"/>
      <c r="M607" s="99"/>
      <c r="N607" s="108" t="s">
        <v>418</v>
      </c>
    </row>
    <row r="608" spans="1:46" ht="15.65" hidden="1" customHeight="1" x14ac:dyDescent="0.35">
      <c r="A608" s="188" t="s">
        <v>555</v>
      </c>
      <c r="B608" s="188"/>
      <c r="C608" s="181" t="s">
        <v>556</v>
      </c>
      <c r="D608" s="167" t="s">
        <v>444</v>
      </c>
      <c r="E608" s="208" t="s">
        <v>369</v>
      </c>
      <c r="F608" s="174"/>
      <c r="G608" s="106">
        <v>41.19</v>
      </c>
      <c r="H608" s="106">
        <v>43.94</v>
      </c>
      <c r="I608" s="99"/>
      <c r="J608" s="99" t="s">
        <v>509</v>
      </c>
      <c r="K608" s="107">
        <v>44926</v>
      </c>
      <c r="L608" s="99"/>
      <c r="M608" s="99" t="s">
        <v>104</v>
      </c>
      <c r="N608" s="99" t="s">
        <v>418</v>
      </c>
    </row>
    <row r="609" spans="1:46" s="89" customFormat="1" ht="15.65" hidden="1" customHeight="1" x14ac:dyDescent="0.35">
      <c r="A609" s="188" t="s">
        <v>555</v>
      </c>
      <c r="B609" s="188"/>
      <c r="C609" s="181" t="s">
        <v>556</v>
      </c>
      <c r="D609" s="167" t="s">
        <v>444</v>
      </c>
      <c r="E609" s="208" t="s">
        <v>369</v>
      </c>
      <c r="F609" s="174"/>
      <c r="G609" s="106">
        <v>41.19</v>
      </c>
      <c r="H609" s="106">
        <v>43.94</v>
      </c>
      <c r="I609" s="99"/>
      <c r="J609" s="99" t="s">
        <v>487</v>
      </c>
      <c r="K609" s="107">
        <v>44773</v>
      </c>
      <c r="L609" s="169" t="s">
        <v>557</v>
      </c>
      <c r="M609" s="99" t="s">
        <v>104</v>
      </c>
      <c r="N609" s="99" t="s">
        <v>443</v>
      </c>
      <c r="O609" s="71"/>
      <c r="P609" s="71"/>
      <c r="Q609" s="71"/>
      <c r="R609" s="71"/>
      <c r="S609" s="71"/>
      <c r="T609" s="71"/>
      <c r="U609" s="71"/>
      <c r="V609" s="71"/>
      <c r="W609" s="71"/>
      <c r="X609" s="71"/>
      <c r="Y609" s="71"/>
      <c r="Z609" s="71"/>
      <c r="AA609" s="71"/>
      <c r="AB609" s="71"/>
      <c r="AC609" s="71"/>
      <c r="AD609" s="71"/>
      <c r="AE609" s="71"/>
      <c r="AF609" s="71"/>
      <c r="AG609" s="71"/>
      <c r="AH609" s="71"/>
      <c r="AI609" s="71"/>
      <c r="AJ609" s="71"/>
      <c r="AK609" s="71"/>
      <c r="AL609" s="71"/>
      <c r="AM609" s="71"/>
      <c r="AN609" s="71"/>
      <c r="AO609" s="71"/>
      <c r="AP609" s="71"/>
      <c r="AQ609" s="71"/>
      <c r="AR609" s="71"/>
      <c r="AS609" s="71"/>
      <c r="AT609" s="71"/>
    </row>
    <row r="610" spans="1:46" s="89" customFormat="1" ht="15.65" hidden="1" customHeight="1" x14ac:dyDescent="0.35">
      <c r="A610" s="180" t="s">
        <v>558</v>
      </c>
      <c r="B610" s="180"/>
      <c r="C610" s="181" t="s">
        <v>559</v>
      </c>
      <c r="D610" s="167" t="s">
        <v>427</v>
      </c>
      <c r="E610" s="192" t="s">
        <v>369</v>
      </c>
      <c r="F610" s="174"/>
      <c r="G610" s="171">
        <v>31.35</v>
      </c>
      <c r="H610" s="171">
        <f>G610+2.75</f>
        <v>34.1</v>
      </c>
      <c r="I610" s="172"/>
      <c r="J610" s="99" t="s">
        <v>428</v>
      </c>
      <c r="K610" s="107">
        <v>44196</v>
      </c>
      <c r="L610" s="99"/>
      <c r="M610" s="99"/>
      <c r="N610" s="99" t="s">
        <v>429</v>
      </c>
      <c r="O610" s="71"/>
      <c r="P610" s="71"/>
      <c r="Q610" s="71"/>
      <c r="R610" s="71"/>
      <c r="S610" s="71"/>
      <c r="T610" s="71"/>
      <c r="U610" s="71"/>
      <c r="V610" s="71"/>
      <c r="W610" s="71"/>
      <c r="X610" s="71"/>
      <c r="Y610" s="71"/>
      <c r="Z610" s="71"/>
      <c r="AA610" s="71"/>
      <c r="AB610" s="71"/>
      <c r="AC610" s="71"/>
      <c r="AD610" s="71"/>
      <c r="AE610" s="71"/>
      <c r="AF610" s="71"/>
      <c r="AG610" s="71"/>
      <c r="AH610" s="71"/>
      <c r="AI610" s="71"/>
      <c r="AJ610" s="71"/>
      <c r="AK610" s="71"/>
      <c r="AL610" s="71"/>
      <c r="AM610" s="71"/>
      <c r="AN610" s="71"/>
      <c r="AO610" s="71"/>
      <c r="AP610" s="71"/>
      <c r="AQ610" s="71"/>
      <c r="AR610" s="71"/>
      <c r="AS610" s="71"/>
      <c r="AT610" s="71"/>
    </row>
    <row r="611" spans="1:46" s="89" customFormat="1" ht="15.65" hidden="1" customHeight="1" x14ac:dyDescent="0.35">
      <c r="A611" s="180" t="s">
        <v>560</v>
      </c>
      <c r="B611" s="180"/>
      <c r="C611" s="181" t="s">
        <v>561</v>
      </c>
      <c r="D611" s="167" t="s">
        <v>474</v>
      </c>
      <c r="E611" s="192" t="s">
        <v>369</v>
      </c>
      <c r="F611" s="174"/>
      <c r="G611" s="171">
        <v>95.35</v>
      </c>
      <c r="H611" s="171">
        <f>G611+2.75</f>
        <v>98.1</v>
      </c>
      <c r="I611" s="172"/>
      <c r="J611" s="99" t="s">
        <v>428</v>
      </c>
      <c r="K611" s="107">
        <v>44073</v>
      </c>
      <c r="L611" s="99" t="s">
        <v>494</v>
      </c>
      <c r="M611" s="99"/>
      <c r="N611" s="99" t="s">
        <v>429</v>
      </c>
      <c r="O611" s="71"/>
      <c r="P611" s="71"/>
      <c r="Q611" s="71"/>
      <c r="R611" s="71"/>
      <c r="S611" s="71"/>
      <c r="T611" s="71"/>
      <c r="U611" s="71"/>
      <c r="V611" s="71"/>
      <c r="W611" s="71"/>
      <c r="X611" s="71"/>
      <c r="Y611" s="71"/>
      <c r="Z611" s="71"/>
      <c r="AA611" s="71"/>
      <c r="AB611" s="71"/>
      <c r="AC611" s="71"/>
      <c r="AD611" s="71"/>
      <c r="AE611" s="71"/>
      <c r="AF611" s="71"/>
      <c r="AG611" s="71"/>
      <c r="AH611" s="71"/>
      <c r="AI611" s="71"/>
      <c r="AJ611" s="71"/>
      <c r="AK611" s="71"/>
      <c r="AL611" s="71"/>
      <c r="AM611" s="71"/>
      <c r="AN611" s="71"/>
      <c r="AO611" s="71"/>
      <c r="AP611" s="71"/>
      <c r="AQ611" s="71"/>
      <c r="AR611" s="71"/>
      <c r="AS611" s="71"/>
      <c r="AT611" s="71"/>
    </row>
    <row r="612" spans="1:46" s="89" customFormat="1" ht="15.65" hidden="1" customHeight="1" x14ac:dyDescent="0.35">
      <c r="A612" s="180" t="s">
        <v>562</v>
      </c>
      <c r="B612" s="180"/>
      <c r="C612" s="181" t="s">
        <v>563</v>
      </c>
      <c r="D612" s="167" t="s">
        <v>427</v>
      </c>
      <c r="E612" s="192" t="s">
        <v>369</v>
      </c>
      <c r="F612" s="174"/>
      <c r="G612" s="209">
        <v>155</v>
      </c>
      <c r="H612" s="106">
        <v>157.75</v>
      </c>
      <c r="I612" s="99"/>
      <c r="J612" s="107" t="s">
        <v>428</v>
      </c>
      <c r="K612" s="107">
        <v>44561</v>
      </c>
      <c r="L612" s="99"/>
      <c r="M612" s="99"/>
      <c r="N612" s="182" t="s">
        <v>457</v>
      </c>
      <c r="O612" s="71"/>
      <c r="P612" s="71"/>
      <c r="Q612" s="71"/>
      <c r="R612" s="71"/>
      <c r="S612" s="71"/>
      <c r="T612" s="71"/>
      <c r="U612" s="71"/>
      <c r="V612" s="71"/>
      <c r="W612" s="71"/>
      <c r="X612" s="71"/>
      <c r="Y612" s="71"/>
      <c r="Z612" s="71"/>
      <c r="AA612" s="71"/>
      <c r="AB612" s="71"/>
      <c r="AC612" s="71"/>
      <c r="AD612" s="71"/>
      <c r="AE612" s="71"/>
      <c r="AF612" s="71"/>
      <c r="AG612" s="71"/>
      <c r="AH612" s="71"/>
      <c r="AI612" s="71"/>
      <c r="AJ612" s="71"/>
      <c r="AK612" s="71"/>
      <c r="AL612" s="71"/>
      <c r="AM612" s="71"/>
      <c r="AN612" s="71"/>
      <c r="AO612" s="71"/>
      <c r="AP612" s="71"/>
      <c r="AQ612" s="71"/>
      <c r="AR612" s="71"/>
      <c r="AS612" s="71"/>
      <c r="AT612" s="71"/>
    </row>
    <row r="613" spans="1:46" s="89" customFormat="1" ht="15.65" hidden="1" customHeight="1" x14ac:dyDescent="0.35">
      <c r="A613" s="188" t="s">
        <v>564</v>
      </c>
      <c r="B613" s="188"/>
      <c r="C613" s="99" t="s">
        <v>565</v>
      </c>
      <c r="D613" s="150" t="s">
        <v>427</v>
      </c>
      <c r="E613" s="192" t="s">
        <v>369</v>
      </c>
      <c r="F613" s="174"/>
      <c r="G613" s="106" t="s">
        <v>566</v>
      </c>
      <c r="H613" s="117">
        <v>190</v>
      </c>
      <c r="I613" s="190"/>
      <c r="J613" s="99" t="s">
        <v>509</v>
      </c>
      <c r="K613" s="107">
        <v>44377</v>
      </c>
      <c r="L613" s="169" t="s">
        <v>567</v>
      </c>
      <c r="M613" s="99"/>
      <c r="N613" s="108" t="s">
        <v>443</v>
      </c>
      <c r="O613" s="71"/>
      <c r="P613" s="71"/>
      <c r="Q613" s="71"/>
      <c r="R613" s="71"/>
      <c r="S613" s="71"/>
      <c r="T613" s="71"/>
      <c r="U613" s="71"/>
      <c r="V613" s="71"/>
      <c r="W613" s="71"/>
      <c r="X613" s="71"/>
      <c r="Y613" s="71"/>
      <c r="Z613" s="71"/>
      <c r="AA613" s="71"/>
      <c r="AB613" s="71"/>
      <c r="AC613" s="71"/>
      <c r="AD613" s="71"/>
      <c r="AE613" s="71"/>
      <c r="AF613" s="71"/>
      <c r="AG613" s="71"/>
      <c r="AH613" s="71"/>
      <c r="AI613" s="71"/>
      <c r="AJ613" s="71"/>
      <c r="AK613" s="71"/>
      <c r="AL613" s="71"/>
      <c r="AM613" s="71"/>
      <c r="AN613" s="71"/>
      <c r="AO613" s="71"/>
      <c r="AP613" s="71"/>
      <c r="AQ613" s="71"/>
      <c r="AR613" s="71"/>
      <c r="AS613" s="71"/>
      <c r="AT613" s="71"/>
    </row>
    <row r="614" spans="1:46" s="89" customFormat="1" ht="15.65" hidden="1" customHeight="1" x14ac:dyDescent="0.35">
      <c r="A614" s="188" t="s">
        <v>564</v>
      </c>
      <c r="B614" s="188"/>
      <c r="C614" s="99" t="s">
        <v>565</v>
      </c>
      <c r="D614" s="150" t="s">
        <v>427</v>
      </c>
      <c r="E614" s="192" t="s">
        <v>369</v>
      </c>
      <c r="F614" s="174"/>
      <c r="G614" s="106" t="s">
        <v>566</v>
      </c>
      <c r="H614" s="117">
        <v>190</v>
      </c>
      <c r="I614" s="190"/>
      <c r="J614" s="99" t="s">
        <v>428</v>
      </c>
      <c r="K614" s="107">
        <v>44561</v>
      </c>
      <c r="L614" s="169" t="s">
        <v>568</v>
      </c>
      <c r="M614" s="99"/>
      <c r="N614" s="108" t="s">
        <v>443</v>
      </c>
      <c r="O614" s="71"/>
      <c r="P614" s="71"/>
      <c r="Q614" s="71"/>
      <c r="R614" s="71"/>
      <c r="S614" s="71"/>
      <c r="T614" s="71"/>
      <c r="U614" s="71"/>
      <c r="V614" s="71"/>
      <c r="W614" s="71"/>
      <c r="X614" s="71"/>
      <c r="Y614" s="71"/>
      <c r="Z614" s="71"/>
      <c r="AA614" s="71"/>
      <c r="AB614" s="71"/>
      <c r="AC614" s="71"/>
      <c r="AD614" s="71"/>
      <c r="AE614" s="71"/>
      <c r="AF614" s="71"/>
      <c r="AG614" s="71"/>
      <c r="AH614" s="71"/>
      <c r="AI614" s="71"/>
      <c r="AJ614" s="71"/>
      <c r="AK614" s="71"/>
      <c r="AL614" s="71"/>
      <c r="AM614" s="71"/>
      <c r="AN614" s="71"/>
      <c r="AO614" s="71"/>
      <c r="AP614" s="71"/>
      <c r="AQ614" s="71"/>
      <c r="AR614" s="71"/>
      <c r="AS614" s="71"/>
      <c r="AT614" s="71"/>
    </row>
    <row r="615" spans="1:46" ht="31.5" hidden="1" customHeight="1" x14ac:dyDescent="0.35">
      <c r="A615" s="188" t="s">
        <v>564</v>
      </c>
      <c r="B615" s="188"/>
      <c r="C615" s="99" t="s">
        <v>565</v>
      </c>
      <c r="D615" s="150" t="s">
        <v>427</v>
      </c>
      <c r="E615" s="192" t="s">
        <v>369</v>
      </c>
      <c r="F615" s="174"/>
      <c r="G615" s="106" t="s">
        <v>566</v>
      </c>
      <c r="H615" s="117">
        <v>190</v>
      </c>
      <c r="I615" s="190"/>
      <c r="J615" s="99" t="s">
        <v>428</v>
      </c>
      <c r="K615" s="107">
        <v>44926</v>
      </c>
      <c r="L615" s="169" t="s">
        <v>569</v>
      </c>
      <c r="M615" s="99"/>
      <c r="N615" s="108" t="s">
        <v>418</v>
      </c>
    </row>
    <row r="616" spans="1:46" ht="26.15" hidden="1" customHeight="1" x14ac:dyDescent="0.35">
      <c r="A616" s="188" t="s">
        <v>564</v>
      </c>
      <c r="B616" s="188"/>
      <c r="C616" s="99" t="s">
        <v>565</v>
      </c>
      <c r="D616" s="150" t="s">
        <v>465</v>
      </c>
      <c r="E616" s="192" t="s">
        <v>369</v>
      </c>
      <c r="F616" s="174"/>
      <c r="G616" s="106" t="s">
        <v>566</v>
      </c>
      <c r="H616" s="117">
        <v>184</v>
      </c>
      <c r="I616" s="190"/>
      <c r="J616" s="99" t="s">
        <v>428</v>
      </c>
      <c r="K616" s="107">
        <v>44926</v>
      </c>
      <c r="L616" s="169" t="s">
        <v>570</v>
      </c>
      <c r="M616" s="99"/>
      <c r="N616" s="108" t="s">
        <v>439</v>
      </c>
    </row>
    <row r="617" spans="1:46" ht="15.65" hidden="1" customHeight="1" x14ac:dyDescent="0.35">
      <c r="A617" s="188" t="s">
        <v>571</v>
      </c>
      <c r="B617" s="188"/>
      <c r="C617" s="99" t="s">
        <v>572</v>
      </c>
      <c r="D617" s="150" t="s">
        <v>444</v>
      </c>
      <c r="E617" s="192" t="s">
        <v>369</v>
      </c>
      <c r="F617" s="174"/>
      <c r="G617" s="117">
        <v>52.3</v>
      </c>
      <c r="H617" s="106">
        <f>G617+2.75</f>
        <v>55.05</v>
      </c>
      <c r="I617" s="99"/>
      <c r="J617" s="99" t="s">
        <v>487</v>
      </c>
      <c r="K617" s="107">
        <v>44926</v>
      </c>
      <c r="L617" s="99"/>
      <c r="M617" s="99"/>
      <c r="N617" s="108" t="s">
        <v>418</v>
      </c>
    </row>
    <row r="618" spans="1:46" ht="15.65" hidden="1" customHeight="1" x14ac:dyDescent="0.35">
      <c r="A618" s="188" t="s">
        <v>84</v>
      </c>
      <c r="B618" s="188"/>
      <c r="C618" s="181" t="s">
        <v>573</v>
      </c>
      <c r="D618" s="167" t="s">
        <v>427</v>
      </c>
      <c r="E618" s="192" t="s">
        <v>369</v>
      </c>
      <c r="F618" s="174"/>
      <c r="G618" s="106">
        <v>81.680000000000007</v>
      </c>
      <c r="H618" s="106">
        <v>84.43</v>
      </c>
      <c r="I618" s="99"/>
      <c r="J618" s="99" t="s">
        <v>509</v>
      </c>
      <c r="K618" s="107">
        <v>44196</v>
      </c>
      <c r="L618" s="99"/>
      <c r="M618" s="99"/>
      <c r="N618" s="99" t="s">
        <v>429</v>
      </c>
    </row>
    <row r="619" spans="1:46" ht="15.65" hidden="1" customHeight="1" x14ac:dyDescent="0.35">
      <c r="A619" s="188" t="s">
        <v>84</v>
      </c>
      <c r="B619" s="188"/>
      <c r="C619" s="181" t="s">
        <v>573</v>
      </c>
      <c r="D619" s="167" t="s">
        <v>444</v>
      </c>
      <c r="E619" s="192" t="s">
        <v>369</v>
      </c>
      <c r="F619" s="174"/>
      <c r="G619" s="106">
        <v>81.680000000000007</v>
      </c>
      <c r="H619" s="106">
        <v>84.43</v>
      </c>
      <c r="I619" s="99"/>
      <c r="J619" s="99" t="s">
        <v>509</v>
      </c>
      <c r="K619" s="107">
        <v>44926</v>
      </c>
      <c r="L619" s="99"/>
      <c r="M619" s="99"/>
      <c r="N619" s="99" t="s">
        <v>418</v>
      </c>
    </row>
    <row r="620" spans="1:46" ht="15.65" hidden="1" customHeight="1" x14ac:dyDescent="0.35">
      <c r="A620" s="180" t="s">
        <v>249</v>
      </c>
      <c r="B620" s="180"/>
      <c r="C620" s="181" t="s">
        <v>574</v>
      </c>
      <c r="D620" s="167" t="s">
        <v>427</v>
      </c>
      <c r="E620" s="192" t="s">
        <v>369</v>
      </c>
      <c r="F620" s="174"/>
      <c r="G620" s="171" t="s">
        <v>513</v>
      </c>
      <c r="H620" s="171">
        <v>83.9</v>
      </c>
      <c r="I620" s="172"/>
      <c r="J620" s="99" t="s">
        <v>428</v>
      </c>
      <c r="K620" s="107">
        <v>44561</v>
      </c>
      <c r="L620" s="99"/>
      <c r="M620" s="99"/>
      <c r="N620" s="99" t="s">
        <v>457</v>
      </c>
    </row>
    <row r="621" spans="1:46" ht="15.65" hidden="1" customHeight="1" x14ac:dyDescent="0.35">
      <c r="A621" s="188" t="s">
        <v>575</v>
      </c>
      <c r="B621" s="188"/>
      <c r="C621" s="169" t="s">
        <v>576</v>
      </c>
      <c r="D621" s="150" t="s">
        <v>427</v>
      </c>
      <c r="E621" s="192" t="s">
        <v>369</v>
      </c>
      <c r="F621" s="174"/>
      <c r="G621" s="106">
        <v>39.950000000000003</v>
      </c>
      <c r="H621" s="117">
        <v>42.7</v>
      </c>
      <c r="I621" s="190"/>
      <c r="J621" s="99" t="s">
        <v>509</v>
      </c>
      <c r="K621" s="107">
        <v>44561</v>
      </c>
      <c r="L621" s="169" t="s">
        <v>577</v>
      </c>
      <c r="M621" s="99"/>
      <c r="N621" s="108" t="s">
        <v>443</v>
      </c>
    </row>
    <row r="622" spans="1:46" ht="15.65" hidden="1" customHeight="1" x14ac:dyDescent="0.35">
      <c r="A622" s="188" t="s">
        <v>575</v>
      </c>
      <c r="B622" s="188"/>
      <c r="C622" s="169" t="s">
        <v>576</v>
      </c>
      <c r="D622" s="150" t="s">
        <v>444</v>
      </c>
      <c r="E622" s="192" t="s">
        <v>369</v>
      </c>
      <c r="F622" s="174"/>
      <c r="G622" s="106">
        <v>39.950000000000003</v>
      </c>
      <c r="H622" s="117">
        <v>42.7</v>
      </c>
      <c r="I622" s="190"/>
      <c r="J622" s="99" t="s">
        <v>509</v>
      </c>
      <c r="K622" s="107">
        <v>44926</v>
      </c>
      <c r="L622" s="169"/>
      <c r="M622" s="99"/>
      <c r="N622" s="108" t="s">
        <v>418</v>
      </c>
    </row>
    <row r="623" spans="1:46" ht="15.65" hidden="1" customHeight="1" x14ac:dyDescent="0.35">
      <c r="A623" s="188" t="s">
        <v>578</v>
      </c>
      <c r="B623" s="188"/>
      <c r="C623" s="169" t="s">
        <v>579</v>
      </c>
      <c r="D623" s="150" t="s">
        <v>465</v>
      </c>
      <c r="E623" s="192" t="s">
        <v>369</v>
      </c>
      <c r="F623" s="174"/>
      <c r="G623" s="106">
        <v>20.350000000000001</v>
      </c>
      <c r="H623" s="117">
        <f>G623+2.75</f>
        <v>23.1</v>
      </c>
      <c r="I623" s="99"/>
      <c r="J623" s="99" t="s">
        <v>428</v>
      </c>
      <c r="K623" s="107">
        <v>44926</v>
      </c>
      <c r="L623" s="169" t="s">
        <v>580</v>
      </c>
      <c r="M623" s="99"/>
      <c r="N623" s="108" t="s">
        <v>443</v>
      </c>
    </row>
    <row r="624" spans="1:46" s="89" customFormat="1" ht="15.65" hidden="1" customHeight="1" x14ac:dyDescent="0.35">
      <c r="A624" s="175" t="s">
        <v>253</v>
      </c>
      <c r="B624" s="175"/>
      <c r="C624" s="167" t="s">
        <v>581</v>
      </c>
      <c r="D624" s="167" t="s">
        <v>427</v>
      </c>
      <c r="E624" s="192" t="s">
        <v>369</v>
      </c>
      <c r="F624" s="174"/>
      <c r="G624" s="176">
        <v>65.05</v>
      </c>
      <c r="H624" s="176">
        <f>G624+2.75</f>
        <v>67.8</v>
      </c>
      <c r="I624" s="177"/>
      <c r="J624" s="150" t="s">
        <v>432</v>
      </c>
      <c r="K624" s="178">
        <v>44561</v>
      </c>
      <c r="L624" s="150"/>
      <c r="M624" s="150" t="s">
        <v>20</v>
      </c>
      <c r="N624" s="150" t="s">
        <v>433</v>
      </c>
      <c r="O624" s="71"/>
      <c r="P624" s="71"/>
      <c r="Q624" s="71"/>
      <c r="R624" s="71"/>
      <c r="S624" s="71"/>
      <c r="T624" s="71"/>
      <c r="U624" s="71"/>
      <c r="V624" s="71"/>
      <c r="W624" s="71"/>
      <c r="X624" s="71"/>
      <c r="Y624" s="71"/>
      <c r="Z624" s="71"/>
      <c r="AA624" s="71"/>
      <c r="AB624" s="71"/>
      <c r="AC624" s="71"/>
      <c r="AD624" s="71"/>
      <c r="AE624" s="71"/>
      <c r="AF624" s="71"/>
      <c r="AG624" s="71"/>
      <c r="AH624" s="71"/>
      <c r="AI624" s="71"/>
      <c r="AJ624" s="71"/>
      <c r="AK624" s="71"/>
      <c r="AL624" s="71"/>
      <c r="AM624" s="71"/>
      <c r="AN624" s="71"/>
      <c r="AO624" s="71"/>
      <c r="AP624" s="71"/>
      <c r="AQ624" s="71"/>
      <c r="AR624" s="71"/>
      <c r="AS624" s="71"/>
      <c r="AT624" s="71"/>
    </row>
    <row r="625" spans="1:46" s="89" customFormat="1" ht="15.65" hidden="1" customHeight="1" x14ac:dyDescent="0.35">
      <c r="A625" s="188" t="s">
        <v>582</v>
      </c>
      <c r="B625" s="188"/>
      <c r="C625" s="181" t="s">
        <v>583</v>
      </c>
      <c r="D625" s="167" t="s">
        <v>427</v>
      </c>
      <c r="E625" s="192" t="s">
        <v>369</v>
      </c>
      <c r="F625" s="174"/>
      <c r="G625" s="106">
        <v>54.25</v>
      </c>
      <c r="H625" s="117">
        <f>G625+2.75</f>
        <v>57</v>
      </c>
      <c r="I625" s="190"/>
      <c r="J625" s="99" t="s">
        <v>509</v>
      </c>
      <c r="K625" s="107">
        <v>44196</v>
      </c>
      <c r="L625" s="99"/>
      <c r="M625" s="99" t="s">
        <v>104</v>
      </c>
      <c r="N625" s="99" t="s">
        <v>429</v>
      </c>
      <c r="O625" s="71"/>
      <c r="P625" s="71"/>
      <c r="Q625" s="71"/>
      <c r="R625" s="71"/>
      <c r="S625" s="71"/>
      <c r="T625" s="71"/>
      <c r="U625" s="71"/>
      <c r="V625" s="71"/>
      <c r="W625" s="71"/>
      <c r="X625" s="71"/>
      <c r="Y625" s="71"/>
      <c r="Z625" s="71"/>
      <c r="AA625" s="71"/>
      <c r="AB625" s="71"/>
      <c r="AC625" s="71"/>
      <c r="AD625" s="71"/>
      <c r="AE625" s="71"/>
      <c r="AF625" s="71"/>
      <c r="AG625" s="71"/>
      <c r="AH625" s="71"/>
      <c r="AI625" s="71"/>
      <c r="AJ625" s="71"/>
      <c r="AK625" s="71"/>
      <c r="AL625" s="71"/>
      <c r="AM625" s="71"/>
      <c r="AN625" s="71"/>
      <c r="AO625" s="71"/>
      <c r="AP625" s="71"/>
      <c r="AQ625" s="71"/>
      <c r="AR625" s="71"/>
      <c r="AS625" s="71"/>
      <c r="AT625" s="71"/>
    </row>
    <row r="626" spans="1:46" s="89" customFormat="1" ht="15.65" hidden="1" customHeight="1" x14ac:dyDescent="0.35">
      <c r="A626" s="188" t="s">
        <v>582</v>
      </c>
      <c r="B626" s="188"/>
      <c r="C626" s="181" t="s">
        <v>583</v>
      </c>
      <c r="D626" s="167" t="s">
        <v>444</v>
      </c>
      <c r="E626" s="192" t="s">
        <v>369</v>
      </c>
      <c r="F626" s="174"/>
      <c r="G626" s="106">
        <v>54.25</v>
      </c>
      <c r="H626" s="117">
        <f>G626+2.75</f>
        <v>57</v>
      </c>
      <c r="I626" s="190"/>
      <c r="J626" s="99" t="s">
        <v>509</v>
      </c>
      <c r="K626" s="107">
        <v>44926</v>
      </c>
      <c r="L626" s="99"/>
      <c r="M626" s="99"/>
      <c r="N626" s="99" t="s">
        <v>418</v>
      </c>
      <c r="O626" s="71"/>
      <c r="P626" s="71"/>
      <c r="Q626" s="71"/>
      <c r="R626" s="71"/>
      <c r="S626" s="71"/>
      <c r="T626" s="71"/>
      <c r="U626" s="71"/>
      <c r="V626" s="71"/>
      <c r="W626" s="71"/>
      <c r="X626" s="71"/>
      <c r="Y626" s="71"/>
      <c r="Z626" s="71"/>
      <c r="AA626" s="71"/>
      <c r="AB626" s="71"/>
      <c r="AC626" s="71"/>
      <c r="AD626" s="71"/>
      <c r="AE626" s="71"/>
      <c r="AF626" s="71"/>
      <c r="AG626" s="71"/>
      <c r="AH626" s="71"/>
      <c r="AI626" s="71"/>
      <c r="AJ626" s="71"/>
      <c r="AK626" s="71"/>
      <c r="AL626" s="71"/>
      <c r="AM626" s="71"/>
      <c r="AN626" s="71"/>
      <c r="AO626" s="71"/>
      <c r="AP626" s="71"/>
      <c r="AQ626" s="71"/>
      <c r="AR626" s="71"/>
      <c r="AS626" s="71"/>
      <c r="AT626" s="71"/>
    </row>
    <row r="627" spans="1:46" s="89" customFormat="1" ht="15.65" hidden="1" customHeight="1" x14ac:dyDescent="0.35">
      <c r="A627" s="188" t="s">
        <v>584</v>
      </c>
      <c r="B627" s="188"/>
      <c r="C627" s="99" t="s">
        <v>585</v>
      </c>
      <c r="D627" s="150" t="s">
        <v>444</v>
      </c>
      <c r="E627" s="192" t="s">
        <v>369</v>
      </c>
      <c r="F627" s="174"/>
      <c r="G627" s="106">
        <v>43.1</v>
      </c>
      <c r="H627" s="106">
        <f>G627+2.75</f>
        <v>45.85</v>
      </c>
      <c r="I627" s="99"/>
      <c r="J627" s="99" t="s">
        <v>487</v>
      </c>
      <c r="K627" s="107">
        <v>44926</v>
      </c>
      <c r="L627" s="99"/>
      <c r="M627" s="99"/>
      <c r="N627" s="108" t="s">
        <v>418</v>
      </c>
      <c r="O627" s="71"/>
      <c r="P627" s="71"/>
      <c r="Q627" s="71"/>
      <c r="R627" s="71"/>
      <c r="S627" s="71"/>
      <c r="T627" s="71"/>
      <c r="U627" s="71"/>
      <c r="V627" s="71"/>
      <c r="W627" s="71"/>
      <c r="X627" s="71"/>
      <c r="Y627" s="71"/>
      <c r="Z627" s="71"/>
      <c r="AA627" s="71"/>
      <c r="AB627" s="71"/>
      <c r="AC627" s="71"/>
      <c r="AD627" s="71"/>
      <c r="AE627" s="71"/>
      <c r="AF627" s="71"/>
      <c r="AG627" s="71"/>
      <c r="AH627" s="71"/>
      <c r="AI627" s="71"/>
      <c r="AJ627" s="71"/>
      <c r="AK627" s="71"/>
      <c r="AL627" s="71"/>
      <c r="AM627" s="71"/>
      <c r="AN627" s="71"/>
      <c r="AO627" s="71"/>
      <c r="AP627" s="71"/>
      <c r="AQ627" s="71"/>
      <c r="AR627" s="71"/>
      <c r="AS627" s="71"/>
      <c r="AT627" s="71"/>
    </row>
    <row r="628" spans="1:46" ht="15.65" hidden="1" customHeight="1" x14ac:dyDescent="0.35">
      <c r="A628" s="308" t="s">
        <v>586</v>
      </c>
      <c r="B628" s="308"/>
      <c r="C628" s="462" t="s">
        <v>587</v>
      </c>
      <c r="D628" s="304" t="s">
        <v>427</v>
      </c>
      <c r="E628" s="192" t="s">
        <v>369</v>
      </c>
      <c r="F628" s="238"/>
      <c r="G628" s="346">
        <v>86.75</v>
      </c>
      <c r="H628" s="144">
        <v>89.5</v>
      </c>
      <c r="I628" s="537"/>
      <c r="J628" s="111" t="s">
        <v>428</v>
      </c>
      <c r="K628" s="111">
        <v>44196</v>
      </c>
      <c r="L628" s="100"/>
      <c r="M628" s="100"/>
      <c r="N628" s="583" t="s">
        <v>429</v>
      </c>
    </row>
    <row r="629" spans="1:46" s="89" customFormat="1" ht="15.65" hidden="1" customHeight="1" x14ac:dyDescent="0.35">
      <c r="A629" s="188" t="s">
        <v>586</v>
      </c>
      <c r="B629" s="188"/>
      <c r="C629" s="191" t="s">
        <v>587</v>
      </c>
      <c r="D629" s="192" t="s">
        <v>465</v>
      </c>
      <c r="E629" s="192" t="s">
        <v>369</v>
      </c>
      <c r="F629" s="174"/>
      <c r="G629" s="106">
        <v>86.75</v>
      </c>
      <c r="H629" s="117">
        <v>89.5</v>
      </c>
      <c r="I629" s="190"/>
      <c r="J629" s="107" t="s">
        <v>428</v>
      </c>
      <c r="K629" s="107">
        <v>44926</v>
      </c>
      <c r="L629" s="99"/>
      <c r="M629" s="99"/>
      <c r="N629" s="173" t="s">
        <v>418</v>
      </c>
      <c r="O629" s="71"/>
      <c r="P629" s="71"/>
      <c r="Q629" s="71"/>
      <c r="R629" s="71"/>
      <c r="S629" s="71"/>
      <c r="T629" s="71"/>
      <c r="U629" s="71"/>
      <c r="V629" s="71"/>
      <c r="W629" s="71"/>
      <c r="X629" s="71"/>
      <c r="Y629" s="71"/>
      <c r="Z629" s="71"/>
      <c r="AA629" s="71"/>
      <c r="AB629" s="71"/>
      <c r="AC629" s="71"/>
      <c r="AD629" s="71"/>
      <c r="AE629" s="71"/>
      <c r="AF629" s="71"/>
      <c r="AG629" s="71"/>
      <c r="AH629" s="71"/>
      <c r="AI629" s="71"/>
      <c r="AJ629" s="71"/>
      <c r="AK629" s="71"/>
      <c r="AL629" s="71"/>
      <c r="AM629" s="71"/>
      <c r="AN629" s="71"/>
      <c r="AO629" s="71"/>
      <c r="AP629" s="71"/>
      <c r="AQ629" s="71"/>
      <c r="AR629" s="71"/>
      <c r="AS629" s="71"/>
      <c r="AT629" s="71"/>
    </row>
    <row r="630" spans="1:46" s="89" customFormat="1" ht="15.65" hidden="1" customHeight="1" x14ac:dyDescent="0.35">
      <c r="A630" s="175" t="s">
        <v>588</v>
      </c>
      <c r="B630" s="175"/>
      <c r="C630" s="167" t="s">
        <v>589</v>
      </c>
      <c r="D630" s="167" t="s">
        <v>427</v>
      </c>
      <c r="E630" s="192" t="s">
        <v>369</v>
      </c>
      <c r="F630" s="174"/>
      <c r="G630" s="176">
        <v>140</v>
      </c>
      <c r="H630" s="176">
        <f>G630+2.75</f>
        <v>142.75</v>
      </c>
      <c r="I630" s="177"/>
      <c r="J630" s="150" t="s">
        <v>590</v>
      </c>
      <c r="K630" s="178">
        <v>43921</v>
      </c>
      <c r="L630" s="150" t="s">
        <v>427</v>
      </c>
      <c r="M630" s="99"/>
      <c r="N630" s="99" t="s">
        <v>427</v>
      </c>
      <c r="O630" s="71"/>
      <c r="P630" s="71"/>
      <c r="Q630" s="71"/>
      <c r="R630" s="71"/>
      <c r="S630" s="71"/>
      <c r="T630" s="71"/>
      <c r="U630" s="71"/>
      <c r="V630" s="71"/>
      <c r="W630" s="71"/>
      <c r="X630" s="71"/>
      <c r="Y630" s="71"/>
      <c r="Z630" s="71"/>
      <c r="AA630" s="71"/>
      <c r="AB630" s="71"/>
      <c r="AC630" s="71"/>
      <c r="AD630" s="71"/>
      <c r="AE630" s="71"/>
      <c r="AF630" s="71"/>
      <c r="AG630" s="71"/>
      <c r="AH630" s="71"/>
      <c r="AI630" s="71"/>
      <c r="AJ630" s="71"/>
      <c r="AK630" s="71"/>
      <c r="AL630" s="71"/>
      <c r="AM630" s="71"/>
      <c r="AN630" s="71"/>
      <c r="AO630" s="71"/>
      <c r="AP630" s="71"/>
      <c r="AQ630" s="71"/>
      <c r="AR630" s="71"/>
      <c r="AS630" s="71"/>
      <c r="AT630" s="71"/>
    </row>
    <row r="631" spans="1:46" s="89" customFormat="1" ht="15.65" hidden="1" customHeight="1" x14ac:dyDescent="0.35">
      <c r="A631" s="180" t="s">
        <v>591</v>
      </c>
      <c r="B631" s="180"/>
      <c r="C631" s="169" t="s">
        <v>592</v>
      </c>
      <c r="D631" s="170" t="s">
        <v>427</v>
      </c>
      <c r="E631" s="192" t="s">
        <v>369</v>
      </c>
      <c r="F631" s="174"/>
      <c r="G631" s="171">
        <v>90</v>
      </c>
      <c r="H631" s="171">
        <f>G631+2.75</f>
        <v>92.75</v>
      </c>
      <c r="I631" s="172"/>
      <c r="J631" s="99" t="s">
        <v>428</v>
      </c>
      <c r="K631" s="107">
        <v>44561</v>
      </c>
      <c r="L631" s="169" t="s">
        <v>593</v>
      </c>
      <c r="M631" s="99" t="s">
        <v>104</v>
      </c>
      <c r="N631" s="169" t="s">
        <v>439</v>
      </c>
      <c r="O631" s="71"/>
      <c r="P631" s="71"/>
      <c r="Q631" s="71"/>
      <c r="R631" s="71"/>
      <c r="S631" s="71"/>
      <c r="T631" s="71"/>
      <c r="U631" s="71"/>
      <c r="V631" s="71"/>
      <c r="W631" s="71"/>
      <c r="X631" s="71"/>
      <c r="Y631" s="71"/>
      <c r="Z631" s="71"/>
      <c r="AA631" s="71"/>
      <c r="AB631" s="71"/>
      <c r="AC631" s="71"/>
      <c r="AD631" s="71"/>
      <c r="AE631" s="71"/>
      <c r="AF631" s="71"/>
      <c r="AG631" s="71"/>
      <c r="AH631" s="71"/>
      <c r="AI631" s="71"/>
      <c r="AJ631" s="71"/>
      <c r="AK631" s="71"/>
      <c r="AL631" s="71"/>
      <c r="AM631" s="71"/>
      <c r="AN631" s="71"/>
      <c r="AO631" s="71"/>
      <c r="AP631" s="71"/>
      <c r="AQ631" s="71"/>
      <c r="AR631" s="71"/>
      <c r="AS631" s="71"/>
      <c r="AT631" s="71"/>
    </row>
    <row r="632" spans="1:46" s="89" customFormat="1" ht="15.65" hidden="1" customHeight="1" x14ac:dyDescent="0.35">
      <c r="A632" s="180" t="s">
        <v>591</v>
      </c>
      <c r="B632" s="180"/>
      <c r="C632" s="169" t="s">
        <v>592</v>
      </c>
      <c r="D632" s="170" t="s">
        <v>427</v>
      </c>
      <c r="E632" s="483" t="s">
        <v>369</v>
      </c>
      <c r="F632" s="174"/>
      <c r="G632" s="171">
        <v>90</v>
      </c>
      <c r="H632" s="171">
        <f>G632+2.75</f>
        <v>92.75</v>
      </c>
      <c r="I632" s="172"/>
      <c r="J632" s="99" t="s">
        <v>449</v>
      </c>
      <c r="K632" s="107">
        <v>44196</v>
      </c>
      <c r="L632" s="99" t="s">
        <v>494</v>
      </c>
      <c r="M632" s="99" t="s">
        <v>104</v>
      </c>
      <c r="N632" s="169" t="s">
        <v>429</v>
      </c>
      <c r="O632" s="71"/>
      <c r="P632" s="71"/>
      <c r="Q632" s="71"/>
      <c r="R632" s="71"/>
      <c r="S632" s="71"/>
      <c r="T632" s="71"/>
      <c r="U632" s="71"/>
      <c r="V632" s="71"/>
      <c r="W632" s="71"/>
      <c r="X632" s="71"/>
      <c r="Y632" s="71"/>
      <c r="Z632" s="71"/>
      <c r="AA632" s="71"/>
      <c r="AB632" s="71"/>
      <c r="AC632" s="71"/>
      <c r="AD632" s="71"/>
      <c r="AE632" s="71"/>
      <c r="AF632" s="71"/>
      <c r="AG632" s="71"/>
      <c r="AH632" s="71"/>
      <c r="AI632" s="71"/>
      <c r="AJ632" s="71"/>
      <c r="AK632" s="71"/>
      <c r="AL632" s="71"/>
      <c r="AM632" s="71"/>
      <c r="AN632" s="71"/>
      <c r="AO632" s="71"/>
      <c r="AP632" s="71"/>
      <c r="AQ632" s="71"/>
      <c r="AR632" s="71"/>
      <c r="AS632" s="71"/>
      <c r="AT632" s="71"/>
    </row>
    <row r="633" spans="1:46" s="89" customFormat="1" ht="15.65" hidden="1" customHeight="1" x14ac:dyDescent="0.35">
      <c r="A633" s="180" t="s">
        <v>594</v>
      </c>
      <c r="B633" s="180"/>
      <c r="C633" s="181" t="s">
        <v>595</v>
      </c>
      <c r="D633" s="167" t="s">
        <v>427</v>
      </c>
      <c r="E633" s="192" t="s">
        <v>369</v>
      </c>
      <c r="F633" s="174"/>
      <c r="G633" s="209" t="s">
        <v>513</v>
      </c>
      <c r="H633" s="106">
        <v>36.700000000000003</v>
      </c>
      <c r="I633" s="99"/>
      <c r="J633" s="107" t="s">
        <v>428</v>
      </c>
      <c r="K633" s="107">
        <v>44196</v>
      </c>
      <c r="L633" s="99"/>
      <c r="M633" s="99"/>
      <c r="N633" s="182" t="s">
        <v>429</v>
      </c>
      <c r="O633" s="71"/>
      <c r="P633" s="71"/>
      <c r="Q633" s="71"/>
      <c r="R633" s="71"/>
      <c r="S633" s="71"/>
      <c r="T633" s="71"/>
      <c r="U633" s="71"/>
      <c r="V633" s="71"/>
      <c r="W633" s="71"/>
      <c r="X633" s="71"/>
      <c r="Y633" s="71"/>
      <c r="Z633" s="71"/>
      <c r="AA633" s="71"/>
      <c r="AB633" s="71"/>
      <c r="AC633" s="71"/>
      <c r="AD633" s="71"/>
      <c r="AE633" s="71"/>
      <c r="AF633" s="71"/>
      <c r="AG633" s="71"/>
      <c r="AH633" s="71"/>
      <c r="AI633" s="71"/>
      <c r="AJ633" s="71"/>
      <c r="AK633" s="71"/>
      <c r="AL633" s="71"/>
      <c r="AM633" s="71"/>
      <c r="AN633" s="71"/>
      <c r="AO633" s="71"/>
      <c r="AP633" s="71"/>
      <c r="AQ633" s="71"/>
      <c r="AR633" s="71"/>
      <c r="AS633" s="71"/>
      <c r="AT633" s="71"/>
    </row>
    <row r="634" spans="1:46" s="89" customFormat="1" ht="15.65" hidden="1" customHeight="1" x14ac:dyDescent="0.35">
      <c r="A634" s="212" t="s">
        <v>596</v>
      </c>
      <c r="B634" s="212"/>
      <c r="C634" s="167" t="s">
        <v>597</v>
      </c>
      <c r="D634" s="167" t="s">
        <v>427</v>
      </c>
      <c r="E634" s="483" t="s">
        <v>369</v>
      </c>
      <c r="F634" s="174"/>
      <c r="G634" s="213">
        <v>58.15</v>
      </c>
      <c r="H634" s="214">
        <f>G634+2.75</f>
        <v>60.9</v>
      </c>
      <c r="I634" s="347"/>
      <c r="J634" s="150" t="s">
        <v>598</v>
      </c>
      <c r="K634" s="178">
        <v>44012</v>
      </c>
      <c r="L634" s="150" t="s">
        <v>427</v>
      </c>
      <c r="M634" s="99"/>
      <c r="N634" s="99" t="s">
        <v>427</v>
      </c>
      <c r="O634" s="71"/>
      <c r="P634" s="71"/>
      <c r="Q634" s="71"/>
      <c r="R634" s="71"/>
      <c r="S634" s="71"/>
      <c r="T634" s="71"/>
      <c r="U634" s="71"/>
      <c r="V634" s="71"/>
      <c r="W634" s="71"/>
      <c r="X634" s="71"/>
      <c r="Y634" s="71"/>
      <c r="Z634" s="71"/>
      <c r="AA634" s="71"/>
      <c r="AB634" s="71"/>
      <c r="AC634" s="71"/>
      <c r="AD634" s="71"/>
      <c r="AE634" s="71"/>
      <c r="AF634" s="71"/>
      <c r="AG634" s="71"/>
      <c r="AH634" s="71"/>
      <c r="AI634" s="71"/>
      <c r="AJ634" s="71"/>
      <c r="AK634" s="71"/>
      <c r="AL634" s="71"/>
      <c r="AM634" s="71"/>
      <c r="AN634" s="71"/>
      <c r="AO634" s="71"/>
      <c r="AP634" s="71"/>
      <c r="AQ634" s="71"/>
      <c r="AR634" s="71"/>
      <c r="AS634" s="71"/>
      <c r="AT634" s="71"/>
    </row>
    <row r="635" spans="1:46" ht="15.65" hidden="1" customHeight="1" x14ac:dyDescent="0.35">
      <c r="A635" s="212" t="s">
        <v>596</v>
      </c>
      <c r="B635" s="212"/>
      <c r="C635" s="167" t="s">
        <v>597</v>
      </c>
      <c r="D635" s="167" t="s">
        <v>427</v>
      </c>
      <c r="E635" s="483" t="s">
        <v>369</v>
      </c>
      <c r="F635" s="174"/>
      <c r="G635" s="213">
        <v>58.15</v>
      </c>
      <c r="H635" s="214">
        <f>G635+2.75</f>
        <v>60.9</v>
      </c>
      <c r="I635" s="347"/>
      <c r="J635" s="150" t="s">
        <v>598</v>
      </c>
      <c r="K635" s="178">
        <v>44042</v>
      </c>
      <c r="L635" s="150" t="s">
        <v>427</v>
      </c>
      <c r="M635" s="99"/>
      <c r="N635" s="99" t="s">
        <v>427</v>
      </c>
    </row>
    <row r="636" spans="1:46" ht="15.65" hidden="1" customHeight="1" x14ac:dyDescent="0.35">
      <c r="A636" s="188" t="s">
        <v>596</v>
      </c>
      <c r="B636" s="188"/>
      <c r="C636" s="181" t="s">
        <v>597</v>
      </c>
      <c r="D636" s="167" t="s">
        <v>537</v>
      </c>
      <c r="E636" s="483" t="s">
        <v>369</v>
      </c>
      <c r="F636" s="174"/>
      <c r="G636" s="106">
        <v>58.15</v>
      </c>
      <c r="H636" s="117">
        <f>G636+2.75</f>
        <v>60.9</v>
      </c>
      <c r="I636" s="190"/>
      <c r="J636" s="99" t="s">
        <v>428</v>
      </c>
      <c r="K636" s="107">
        <v>44561</v>
      </c>
      <c r="L636" s="99" t="s">
        <v>599</v>
      </c>
      <c r="M636" s="99"/>
      <c r="N636" s="99" t="s">
        <v>457</v>
      </c>
    </row>
    <row r="637" spans="1:46" s="89" customFormat="1" ht="10.5" hidden="1" x14ac:dyDescent="0.35">
      <c r="A637" s="180" t="s">
        <v>260</v>
      </c>
      <c r="B637" s="180"/>
      <c r="C637" s="181" t="s">
        <v>385</v>
      </c>
      <c r="D637" s="167" t="s">
        <v>427</v>
      </c>
      <c r="E637" s="192" t="s">
        <v>369</v>
      </c>
      <c r="F637" s="174"/>
      <c r="G637" s="171">
        <v>38.85</v>
      </c>
      <c r="H637" s="171">
        <f>G637+2.75</f>
        <v>41.6</v>
      </c>
      <c r="I637" s="172"/>
      <c r="J637" s="99" t="s">
        <v>428</v>
      </c>
      <c r="K637" s="107">
        <v>44561</v>
      </c>
      <c r="L637" s="99" t="s">
        <v>494</v>
      </c>
      <c r="M637" s="99"/>
      <c r="N637" s="99" t="s">
        <v>457</v>
      </c>
      <c r="O637" s="71"/>
      <c r="P637" s="71"/>
      <c r="Q637" s="71"/>
      <c r="R637" s="71"/>
      <c r="S637" s="71"/>
      <c r="T637" s="71"/>
      <c r="U637" s="71"/>
      <c r="V637" s="71"/>
      <c r="W637" s="71"/>
      <c r="X637" s="71"/>
      <c r="Y637" s="71"/>
      <c r="Z637" s="71"/>
      <c r="AA637" s="71"/>
      <c r="AB637" s="71"/>
      <c r="AC637" s="71"/>
      <c r="AD637" s="71"/>
      <c r="AE637" s="71"/>
      <c r="AF637" s="71"/>
      <c r="AG637" s="71"/>
      <c r="AH637" s="71"/>
      <c r="AI637" s="71"/>
      <c r="AJ637" s="71"/>
      <c r="AK637" s="71"/>
      <c r="AL637" s="71"/>
      <c r="AM637" s="71"/>
      <c r="AN637" s="71"/>
      <c r="AO637" s="71"/>
      <c r="AP637" s="71"/>
      <c r="AQ637" s="71"/>
      <c r="AR637" s="71"/>
      <c r="AS637" s="71"/>
      <c r="AT637" s="71"/>
    </row>
    <row r="638" spans="1:46" s="89" customFormat="1" ht="15.65" hidden="1" customHeight="1" x14ac:dyDescent="0.35">
      <c r="A638" s="188" t="s">
        <v>600</v>
      </c>
      <c r="B638" s="188"/>
      <c r="C638" s="169" t="s">
        <v>601</v>
      </c>
      <c r="D638" s="150" t="s">
        <v>444</v>
      </c>
      <c r="E638" s="483" t="s">
        <v>369</v>
      </c>
      <c r="F638" s="174"/>
      <c r="G638" s="117">
        <v>49.8</v>
      </c>
      <c r="H638" s="117">
        <f>G638+2.75</f>
        <v>52.55</v>
      </c>
      <c r="I638" s="99"/>
      <c r="J638" s="99" t="s">
        <v>509</v>
      </c>
      <c r="K638" s="107">
        <v>44926</v>
      </c>
      <c r="L638" s="99"/>
      <c r="M638" s="99"/>
      <c r="N638" s="108" t="s">
        <v>418</v>
      </c>
      <c r="O638" s="71"/>
      <c r="P638" s="71"/>
      <c r="Q638" s="71"/>
      <c r="R638" s="71"/>
      <c r="S638" s="71"/>
      <c r="T638" s="71"/>
      <c r="U638" s="71"/>
      <c r="V638" s="71"/>
      <c r="W638" s="71"/>
      <c r="X638" s="71"/>
      <c r="Y638" s="71"/>
      <c r="Z638" s="71"/>
      <c r="AA638" s="71"/>
      <c r="AB638" s="71"/>
      <c r="AC638" s="71"/>
      <c r="AD638" s="71"/>
      <c r="AE638" s="71"/>
      <c r="AF638" s="71"/>
      <c r="AG638" s="71"/>
      <c r="AH638" s="71"/>
      <c r="AI638" s="71"/>
      <c r="AJ638" s="71"/>
      <c r="AK638" s="71"/>
      <c r="AL638" s="71"/>
      <c r="AM638" s="71"/>
      <c r="AN638" s="71"/>
      <c r="AO638" s="71"/>
      <c r="AP638" s="71"/>
      <c r="AQ638" s="71"/>
      <c r="AR638" s="71"/>
      <c r="AS638" s="71"/>
      <c r="AT638" s="71"/>
    </row>
    <row r="639" spans="1:46" s="89" customFormat="1" ht="15.65" hidden="1" customHeight="1" x14ac:dyDescent="0.35">
      <c r="A639" s="188" t="s">
        <v>412</v>
      </c>
      <c r="B639" s="188"/>
      <c r="C639" s="99" t="s">
        <v>543</v>
      </c>
      <c r="D639" s="150" t="s">
        <v>427</v>
      </c>
      <c r="E639" s="192" t="s">
        <v>369</v>
      </c>
      <c r="F639" s="174"/>
      <c r="G639" s="106">
        <v>54.85</v>
      </c>
      <c r="H639" s="117">
        <v>57.6</v>
      </c>
      <c r="I639" s="190"/>
      <c r="J639" s="99" t="s">
        <v>428</v>
      </c>
      <c r="K639" s="107">
        <v>44561</v>
      </c>
      <c r="L639" s="169" t="s">
        <v>602</v>
      </c>
      <c r="M639" s="99"/>
      <c r="N639" s="108" t="s">
        <v>443</v>
      </c>
      <c r="O639" s="71"/>
      <c r="P639" s="71"/>
      <c r="Q639" s="71"/>
      <c r="R639" s="71"/>
      <c r="S639" s="71"/>
      <c r="T639" s="71"/>
      <c r="U639" s="71"/>
      <c r="V639" s="71"/>
      <c r="W639" s="71"/>
      <c r="X639" s="71"/>
      <c r="Y639" s="71"/>
      <c r="Z639" s="71"/>
      <c r="AA639" s="71"/>
      <c r="AB639" s="71"/>
      <c r="AC639" s="71"/>
      <c r="AD639" s="71"/>
      <c r="AE639" s="71"/>
      <c r="AF639" s="71"/>
      <c r="AG639" s="71"/>
      <c r="AH639" s="71"/>
      <c r="AI639" s="71"/>
      <c r="AJ639" s="71"/>
      <c r="AK639" s="71"/>
      <c r="AL639" s="71"/>
      <c r="AM639" s="71"/>
      <c r="AN639" s="71"/>
      <c r="AO639" s="71"/>
      <c r="AP639" s="71"/>
      <c r="AQ639" s="71"/>
      <c r="AR639" s="71"/>
      <c r="AS639" s="71"/>
      <c r="AT639" s="71"/>
    </row>
    <row r="640" spans="1:46" s="89" customFormat="1" ht="15.65" hidden="1" customHeight="1" x14ac:dyDescent="0.35">
      <c r="A640" s="188" t="s">
        <v>412</v>
      </c>
      <c r="B640" s="188"/>
      <c r="C640" s="99" t="s">
        <v>543</v>
      </c>
      <c r="D640" s="150" t="s">
        <v>444</v>
      </c>
      <c r="E640" s="483" t="s">
        <v>369</v>
      </c>
      <c r="F640" s="174"/>
      <c r="G640" s="106">
        <v>57.6</v>
      </c>
      <c r="H640" s="117">
        <f>G640+2.75</f>
        <v>60.35</v>
      </c>
      <c r="I640" s="190"/>
      <c r="J640" s="99" t="s">
        <v>428</v>
      </c>
      <c r="K640" s="107">
        <v>44926</v>
      </c>
      <c r="L640" s="169"/>
      <c r="M640" s="99"/>
      <c r="N640" s="108" t="s">
        <v>418</v>
      </c>
      <c r="O640" s="71"/>
      <c r="P640" s="71"/>
      <c r="Q640" s="71"/>
      <c r="R640" s="71"/>
      <c r="S640" s="71"/>
      <c r="T640" s="71"/>
      <c r="U640" s="71"/>
      <c r="V640" s="71"/>
      <c r="W640" s="71"/>
      <c r="X640" s="71"/>
      <c r="Y640" s="71"/>
      <c r="Z640" s="71"/>
      <c r="AA640" s="71"/>
      <c r="AB640" s="71"/>
      <c r="AC640" s="71"/>
      <c r="AD640" s="71"/>
      <c r="AE640" s="71"/>
      <c r="AF640" s="71"/>
      <c r="AG640" s="71"/>
      <c r="AH640" s="71"/>
      <c r="AI640" s="71"/>
      <c r="AJ640" s="71"/>
      <c r="AK640" s="71"/>
      <c r="AL640" s="71"/>
      <c r="AM640" s="71"/>
      <c r="AN640" s="71"/>
      <c r="AO640" s="71"/>
      <c r="AP640" s="71"/>
      <c r="AQ640" s="71"/>
      <c r="AR640" s="71"/>
      <c r="AS640" s="71"/>
      <c r="AT640" s="71"/>
    </row>
    <row r="641" spans="1:46" s="89" customFormat="1" ht="15.65" hidden="1" customHeight="1" x14ac:dyDescent="0.35">
      <c r="A641" s="175" t="s">
        <v>603</v>
      </c>
      <c r="B641" s="175"/>
      <c r="C641" s="167" t="s">
        <v>604</v>
      </c>
      <c r="D641" s="167" t="s">
        <v>427</v>
      </c>
      <c r="E641" s="483" t="s">
        <v>369</v>
      </c>
      <c r="F641" s="174"/>
      <c r="G641" s="176">
        <v>115.5</v>
      </c>
      <c r="H641" s="176">
        <f>G641+2.75</f>
        <v>118.25</v>
      </c>
      <c r="I641" s="177"/>
      <c r="J641" s="150" t="s">
        <v>605</v>
      </c>
      <c r="K641" s="178">
        <v>44043</v>
      </c>
      <c r="L641" s="150" t="s">
        <v>427</v>
      </c>
      <c r="M641" s="99"/>
      <c r="N641" s="99" t="s">
        <v>427</v>
      </c>
      <c r="O641" s="71"/>
      <c r="P641" s="71"/>
      <c r="Q641" s="71"/>
      <c r="R641" s="71"/>
      <c r="S641" s="71"/>
      <c r="T641" s="71"/>
      <c r="U641" s="71"/>
      <c r="V641" s="71"/>
      <c r="W641" s="71"/>
      <c r="X641" s="71"/>
      <c r="Y641" s="71"/>
      <c r="Z641" s="71"/>
      <c r="AA641" s="71"/>
      <c r="AB641" s="71"/>
      <c r="AC641" s="71"/>
      <c r="AD641" s="71"/>
      <c r="AE641" s="71"/>
      <c r="AF641" s="71"/>
      <c r="AG641" s="71"/>
      <c r="AH641" s="71"/>
      <c r="AI641" s="71"/>
      <c r="AJ641" s="71"/>
      <c r="AK641" s="71"/>
      <c r="AL641" s="71"/>
      <c r="AM641" s="71"/>
      <c r="AN641" s="71"/>
      <c r="AO641" s="71"/>
      <c r="AP641" s="71"/>
      <c r="AQ641" s="71"/>
      <c r="AR641" s="71"/>
      <c r="AS641" s="71"/>
      <c r="AT641" s="71"/>
    </row>
    <row r="642" spans="1:46" s="89" customFormat="1" ht="15.65" hidden="1" customHeight="1" x14ac:dyDescent="0.35">
      <c r="A642" s="188" t="s">
        <v>603</v>
      </c>
      <c r="B642" s="188"/>
      <c r="C642" s="99" t="s">
        <v>426</v>
      </c>
      <c r="D642" s="150" t="s">
        <v>465</v>
      </c>
      <c r="E642" s="483" t="s">
        <v>369</v>
      </c>
      <c r="F642" s="174"/>
      <c r="G642" s="215">
        <v>82.74</v>
      </c>
      <c r="H642" s="215">
        <f>G642+2.75</f>
        <v>85.49</v>
      </c>
      <c r="I642" s="99"/>
      <c r="J642" s="169" t="s">
        <v>449</v>
      </c>
      <c r="K642" s="107">
        <v>44926</v>
      </c>
      <c r="L642" s="169" t="s">
        <v>606</v>
      </c>
      <c r="M642" s="99"/>
      <c r="N642" s="108" t="s">
        <v>443</v>
      </c>
      <c r="O642" s="71"/>
      <c r="P642" s="71"/>
      <c r="Q642" s="71"/>
      <c r="R642" s="71"/>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1"/>
      <c r="AS642" s="71"/>
      <c r="AT642" s="71"/>
    </row>
    <row r="643" spans="1:46" ht="15.65" hidden="1" customHeight="1" x14ac:dyDescent="0.35">
      <c r="A643" s="188" t="s">
        <v>607</v>
      </c>
      <c r="B643" s="188"/>
      <c r="C643" s="99" t="s">
        <v>608</v>
      </c>
      <c r="D643" s="150" t="s">
        <v>427</v>
      </c>
      <c r="E643" s="483" t="s">
        <v>369</v>
      </c>
      <c r="F643" s="174"/>
      <c r="G643" s="106">
        <v>34.35</v>
      </c>
      <c r="H643" s="117">
        <v>37.1</v>
      </c>
      <c r="I643" s="190"/>
      <c r="J643" s="99" t="s">
        <v>509</v>
      </c>
      <c r="K643" s="107">
        <v>44377</v>
      </c>
      <c r="L643" s="169" t="s">
        <v>609</v>
      </c>
      <c r="M643" s="99"/>
      <c r="N643" s="108" t="s">
        <v>443</v>
      </c>
    </row>
    <row r="644" spans="1:46" s="89" customFormat="1" ht="15.65" hidden="1" customHeight="1" x14ac:dyDescent="0.35">
      <c r="A644" s="188" t="s">
        <v>607</v>
      </c>
      <c r="B644" s="188"/>
      <c r="C644" s="99" t="s">
        <v>608</v>
      </c>
      <c r="D644" s="150" t="s">
        <v>444</v>
      </c>
      <c r="E644" s="192" t="s">
        <v>369</v>
      </c>
      <c r="F644" s="174"/>
      <c r="G644" s="106">
        <v>34.35</v>
      </c>
      <c r="H644" s="117">
        <v>37.1</v>
      </c>
      <c r="I644" s="190"/>
      <c r="J644" s="99" t="s">
        <v>509</v>
      </c>
      <c r="K644" s="107">
        <v>44926</v>
      </c>
      <c r="L644" s="169"/>
      <c r="M644" s="99"/>
      <c r="N644" s="108" t="s">
        <v>418</v>
      </c>
      <c r="O644" s="71"/>
      <c r="P644" s="71"/>
      <c r="Q644" s="71"/>
      <c r="R644" s="71"/>
      <c r="S644" s="71"/>
      <c r="T644" s="71"/>
      <c r="U644" s="71"/>
      <c r="V644" s="71"/>
      <c r="W644" s="71"/>
      <c r="X644" s="71"/>
      <c r="Y644" s="71"/>
      <c r="Z644" s="71"/>
      <c r="AA644" s="71"/>
      <c r="AB644" s="71"/>
      <c r="AC644" s="71"/>
      <c r="AD644" s="71"/>
      <c r="AE644" s="71"/>
      <c r="AF644" s="71"/>
      <c r="AG644" s="71"/>
      <c r="AH644" s="71"/>
      <c r="AI644" s="71"/>
      <c r="AJ644" s="71"/>
      <c r="AK644" s="71"/>
      <c r="AL644" s="71"/>
      <c r="AM644" s="71"/>
      <c r="AN644" s="71"/>
      <c r="AO644" s="71"/>
      <c r="AP644" s="71"/>
      <c r="AQ644" s="71"/>
      <c r="AR644" s="71"/>
      <c r="AS644" s="71"/>
      <c r="AT644" s="71"/>
    </row>
    <row r="645" spans="1:46" s="89" customFormat="1" ht="15.65" hidden="1" customHeight="1" x14ac:dyDescent="0.35">
      <c r="A645" s="180" t="s">
        <v>610</v>
      </c>
      <c r="B645" s="180"/>
      <c r="C645" s="181" t="s">
        <v>611</v>
      </c>
      <c r="D645" s="167" t="s">
        <v>427</v>
      </c>
      <c r="E645" s="337" t="s">
        <v>369</v>
      </c>
      <c r="F645" s="174"/>
      <c r="G645" s="171">
        <v>39.17</v>
      </c>
      <c r="H645" s="171">
        <f>G645+2.75</f>
        <v>41.92</v>
      </c>
      <c r="I645" s="172"/>
      <c r="J645" s="99" t="s">
        <v>428</v>
      </c>
      <c r="K645" s="107">
        <v>44377</v>
      </c>
      <c r="L645" s="169" t="s">
        <v>612</v>
      </c>
      <c r="M645" s="99" t="s">
        <v>20</v>
      </c>
      <c r="N645" s="99" t="s">
        <v>443</v>
      </c>
    </row>
    <row r="646" spans="1:46" s="89" customFormat="1" ht="15.65" hidden="1" customHeight="1" x14ac:dyDescent="0.35">
      <c r="A646" s="452" t="s">
        <v>613</v>
      </c>
      <c r="B646" s="452"/>
      <c r="C646" s="467" t="s">
        <v>614</v>
      </c>
      <c r="D646" s="477" t="s">
        <v>427</v>
      </c>
      <c r="E646" s="331" t="s">
        <v>369</v>
      </c>
      <c r="F646" s="500"/>
      <c r="G646" s="523">
        <v>76</v>
      </c>
      <c r="H646" s="523">
        <f>G646+2.75</f>
        <v>78.75</v>
      </c>
      <c r="I646" s="542"/>
      <c r="J646" s="349" t="s">
        <v>509</v>
      </c>
      <c r="K646" s="550">
        <v>44561</v>
      </c>
      <c r="L646" s="349"/>
      <c r="M646" s="349" t="s">
        <v>20</v>
      </c>
      <c r="N646" s="349" t="s">
        <v>457</v>
      </c>
    </row>
    <row r="647" spans="1:46" s="89" customFormat="1" ht="15.65" hidden="1" customHeight="1" x14ac:dyDescent="0.35">
      <c r="A647" s="180" t="s">
        <v>613</v>
      </c>
      <c r="B647" s="180"/>
      <c r="C647" s="181" t="s">
        <v>614</v>
      </c>
      <c r="D647" s="167" t="s">
        <v>427</v>
      </c>
      <c r="E647" s="331" t="s">
        <v>369</v>
      </c>
      <c r="F647" s="174"/>
      <c r="G647" s="171">
        <v>76</v>
      </c>
      <c r="H647" s="171">
        <f>G647+2.75</f>
        <v>78.75</v>
      </c>
      <c r="I647" s="172"/>
      <c r="J647" s="99" t="s">
        <v>428</v>
      </c>
      <c r="K647" s="107">
        <v>44196</v>
      </c>
      <c r="L647" s="99"/>
      <c r="M647" s="99" t="s">
        <v>20</v>
      </c>
      <c r="N647" s="99" t="s">
        <v>429</v>
      </c>
    </row>
    <row r="648" spans="1:46" s="89" customFormat="1" ht="15.65" hidden="1" customHeight="1" x14ac:dyDescent="0.35">
      <c r="A648" s="188" t="s">
        <v>615</v>
      </c>
      <c r="B648" s="188"/>
      <c r="C648" s="169" t="s">
        <v>616</v>
      </c>
      <c r="D648" s="150" t="s">
        <v>427</v>
      </c>
      <c r="E648" s="211" t="s">
        <v>369</v>
      </c>
      <c r="F648" s="174"/>
      <c r="G648" s="106">
        <v>48.75</v>
      </c>
      <c r="H648" s="117">
        <v>51.5</v>
      </c>
      <c r="I648" s="190"/>
      <c r="J648" s="99" t="s">
        <v>428</v>
      </c>
      <c r="K648" s="107">
        <v>44561</v>
      </c>
      <c r="L648" s="169" t="s">
        <v>617</v>
      </c>
      <c r="M648" s="99"/>
      <c r="N648" s="108" t="s">
        <v>443</v>
      </c>
    </row>
    <row r="649" spans="1:46" s="89" customFormat="1" ht="15.65" hidden="1" customHeight="1" x14ac:dyDescent="0.35">
      <c r="A649" s="188" t="s">
        <v>615</v>
      </c>
      <c r="B649" s="188"/>
      <c r="C649" s="169" t="s">
        <v>616</v>
      </c>
      <c r="D649" s="150" t="s">
        <v>444</v>
      </c>
      <c r="E649" s="211" t="s">
        <v>369</v>
      </c>
      <c r="F649" s="174"/>
      <c r="G649" s="106">
        <v>48.75</v>
      </c>
      <c r="H649" s="117">
        <v>51.5</v>
      </c>
      <c r="I649" s="190"/>
      <c r="J649" s="99" t="s">
        <v>428</v>
      </c>
      <c r="K649" s="107">
        <v>44926</v>
      </c>
      <c r="L649" s="169"/>
      <c r="M649" s="99"/>
      <c r="N649" s="108" t="s">
        <v>418</v>
      </c>
    </row>
    <row r="650" spans="1:46" s="89" customFormat="1" ht="15.65" hidden="1" customHeight="1" x14ac:dyDescent="0.35">
      <c r="A650" s="188" t="s">
        <v>618</v>
      </c>
      <c r="B650" s="188"/>
      <c r="C650" s="99" t="s">
        <v>619</v>
      </c>
      <c r="D650" s="150" t="s">
        <v>427</v>
      </c>
      <c r="E650" s="211" t="s">
        <v>369</v>
      </c>
      <c r="F650" s="174"/>
      <c r="G650" s="106">
        <v>58.52</v>
      </c>
      <c r="H650" s="106">
        <v>61.27</v>
      </c>
      <c r="I650" s="99"/>
      <c r="J650" s="99" t="s">
        <v>509</v>
      </c>
      <c r="K650" s="107">
        <v>44377</v>
      </c>
      <c r="L650" s="169" t="s">
        <v>620</v>
      </c>
      <c r="M650" s="99"/>
      <c r="N650" s="108" t="s">
        <v>443</v>
      </c>
    </row>
    <row r="651" spans="1:46" s="89" customFormat="1" ht="15.65" hidden="1" customHeight="1" x14ac:dyDescent="0.35">
      <c r="A651" s="188" t="s">
        <v>618</v>
      </c>
      <c r="B651" s="188"/>
      <c r="C651" s="99" t="s">
        <v>619</v>
      </c>
      <c r="D651" s="150" t="s">
        <v>444</v>
      </c>
      <c r="E651" s="211" t="s">
        <v>369</v>
      </c>
      <c r="F651" s="174"/>
      <c r="G651" s="106">
        <v>58.3</v>
      </c>
      <c r="H651" s="106">
        <f>G651+2.75</f>
        <v>61.05</v>
      </c>
      <c r="I651" s="99"/>
      <c r="J651" s="99" t="s">
        <v>509</v>
      </c>
      <c r="K651" s="107">
        <v>44926</v>
      </c>
      <c r="L651" s="169"/>
      <c r="M651" s="99"/>
      <c r="N651" s="108" t="s">
        <v>418</v>
      </c>
    </row>
    <row r="652" spans="1:46" s="89" customFormat="1" ht="15.65" hidden="1" customHeight="1" x14ac:dyDescent="0.35">
      <c r="A652" s="180" t="s">
        <v>621</v>
      </c>
      <c r="B652" s="180"/>
      <c r="C652" s="181" t="s">
        <v>622</v>
      </c>
      <c r="D652" s="167" t="s">
        <v>427</v>
      </c>
      <c r="E652" s="211" t="s">
        <v>369</v>
      </c>
      <c r="F652" s="174"/>
      <c r="G652" s="171">
        <v>30.1</v>
      </c>
      <c r="H652" s="171">
        <f>G652+2.75</f>
        <v>32.85</v>
      </c>
      <c r="I652" s="172"/>
      <c r="J652" s="99" t="s">
        <v>449</v>
      </c>
      <c r="K652" s="107">
        <v>44561</v>
      </c>
      <c r="L652" s="99"/>
      <c r="M652" s="99" t="s">
        <v>20</v>
      </c>
      <c r="N652" s="99" t="s">
        <v>457</v>
      </c>
    </row>
    <row r="653" spans="1:46" s="89" customFormat="1" ht="15.65" hidden="1" customHeight="1" x14ac:dyDescent="0.35">
      <c r="A653" s="180" t="s">
        <v>621</v>
      </c>
      <c r="B653" s="180"/>
      <c r="C653" s="181" t="s">
        <v>622</v>
      </c>
      <c r="D653" s="167" t="s">
        <v>427</v>
      </c>
      <c r="E653" s="211" t="s">
        <v>369</v>
      </c>
      <c r="F653" s="174"/>
      <c r="G653" s="171">
        <v>37.049999999999997</v>
      </c>
      <c r="H653" s="171">
        <f>G653+2.75</f>
        <v>39.799999999999997</v>
      </c>
      <c r="I653" s="172"/>
      <c r="J653" s="99" t="s">
        <v>428</v>
      </c>
      <c r="K653" s="107">
        <v>44561</v>
      </c>
      <c r="L653" s="99"/>
      <c r="M653" s="99" t="s">
        <v>20</v>
      </c>
      <c r="N653" s="99" t="s">
        <v>457</v>
      </c>
    </row>
    <row r="654" spans="1:46" s="89" customFormat="1" ht="15.65" hidden="1" customHeight="1" x14ac:dyDescent="0.35">
      <c r="A654" s="188" t="s">
        <v>274</v>
      </c>
      <c r="B654" s="188"/>
      <c r="C654" s="181" t="s">
        <v>623</v>
      </c>
      <c r="D654" s="167" t="s">
        <v>427</v>
      </c>
      <c r="E654" s="211" t="s">
        <v>369</v>
      </c>
      <c r="F654" s="174"/>
      <c r="G654" s="106">
        <v>44.76</v>
      </c>
      <c r="H654" s="106">
        <v>47.51</v>
      </c>
      <c r="I654" s="99"/>
      <c r="J654" s="99" t="s">
        <v>509</v>
      </c>
      <c r="K654" s="107">
        <v>44196</v>
      </c>
      <c r="L654" s="99"/>
      <c r="M654" s="99" t="s">
        <v>20</v>
      </c>
      <c r="N654" s="99" t="s">
        <v>429</v>
      </c>
    </row>
    <row r="655" spans="1:46" s="89" customFormat="1" ht="15.65" hidden="1" customHeight="1" x14ac:dyDescent="0.35">
      <c r="A655" s="188" t="s">
        <v>274</v>
      </c>
      <c r="B655" s="188"/>
      <c r="C655" s="181" t="s">
        <v>623</v>
      </c>
      <c r="D655" s="167" t="s">
        <v>427</v>
      </c>
      <c r="E655" s="211" t="s">
        <v>369</v>
      </c>
      <c r="F655" s="174"/>
      <c r="G655" s="106">
        <v>44.75</v>
      </c>
      <c r="H655" s="117">
        <v>47.5</v>
      </c>
      <c r="I655" s="190"/>
      <c r="J655" s="99" t="s">
        <v>449</v>
      </c>
      <c r="K655" s="107">
        <v>44561</v>
      </c>
      <c r="L655" s="99"/>
      <c r="M655" s="99" t="s">
        <v>624</v>
      </c>
      <c r="N655" s="99" t="s">
        <v>457</v>
      </c>
    </row>
    <row r="656" spans="1:46" s="89" customFormat="1" ht="15.65" hidden="1" customHeight="1" x14ac:dyDescent="0.35">
      <c r="A656" s="188" t="s">
        <v>274</v>
      </c>
      <c r="B656" s="188"/>
      <c r="C656" s="181" t="s">
        <v>623</v>
      </c>
      <c r="D656" s="150" t="s">
        <v>427</v>
      </c>
      <c r="E656" s="211" t="s">
        <v>369</v>
      </c>
      <c r="F656" s="174"/>
      <c r="G656" s="106">
        <v>44.75</v>
      </c>
      <c r="H656" s="117">
        <v>47.5</v>
      </c>
      <c r="I656" s="190"/>
      <c r="J656" s="99" t="s">
        <v>437</v>
      </c>
      <c r="K656" s="107">
        <v>44561</v>
      </c>
      <c r="L656" s="169" t="s">
        <v>625</v>
      </c>
      <c r="M656" s="99" t="s">
        <v>20</v>
      </c>
      <c r="N656" s="108" t="s">
        <v>443</v>
      </c>
    </row>
    <row r="657" spans="1:46" s="89" customFormat="1" ht="15.65" hidden="1" customHeight="1" x14ac:dyDescent="0.35">
      <c r="A657" s="188" t="s">
        <v>274</v>
      </c>
      <c r="B657" s="188"/>
      <c r="C657" s="181" t="s">
        <v>623</v>
      </c>
      <c r="D657" s="167" t="s">
        <v>444</v>
      </c>
      <c r="E657" s="211" t="s">
        <v>369</v>
      </c>
      <c r="F657" s="174"/>
      <c r="G657" s="106">
        <v>44.75</v>
      </c>
      <c r="H657" s="117">
        <v>47.5</v>
      </c>
      <c r="I657" s="190"/>
      <c r="J657" s="99" t="s">
        <v>449</v>
      </c>
      <c r="K657" s="107">
        <v>44926</v>
      </c>
      <c r="L657" s="99"/>
      <c r="M657" s="99" t="s">
        <v>624</v>
      </c>
      <c r="N657" s="99" t="s">
        <v>458</v>
      </c>
    </row>
    <row r="658" spans="1:46" s="89" customFormat="1" ht="15.65" hidden="1" customHeight="1" x14ac:dyDescent="0.35">
      <c r="A658" s="175" t="s">
        <v>276</v>
      </c>
      <c r="B658" s="175"/>
      <c r="C658" s="167" t="s">
        <v>626</v>
      </c>
      <c r="D658" s="167" t="s">
        <v>427</v>
      </c>
      <c r="E658" s="337" t="s">
        <v>369</v>
      </c>
      <c r="F658" s="174"/>
      <c r="G658" s="176">
        <v>39.700000000000003</v>
      </c>
      <c r="H658" s="176">
        <f>G658+2.75</f>
        <v>42.45</v>
      </c>
      <c r="I658" s="99"/>
      <c r="J658" s="150" t="s">
        <v>441</v>
      </c>
      <c r="K658" s="178">
        <v>44043</v>
      </c>
      <c r="L658" s="150" t="s">
        <v>427</v>
      </c>
      <c r="M658" s="99"/>
      <c r="N658" s="99" t="s">
        <v>427</v>
      </c>
    </row>
    <row r="659" spans="1:46" s="89" customFormat="1" ht="15.65" hidden="1" customHeight="1" x14ac:dyDescent="0.35">
      <c r="A659" s="180" t="s">
        <v>276</v>
      </c>
      <c r="B659" s="180"/>
      <c r="C659" s="181" t="s">
        <v>626</v>
      </c>
      <c r="D659" s="167" t="s">
        <v>427</v>
      </c>
      <c r="E659" s="337" t="s">
        <v>369</v>
      </c>
      <c r="F659" s="174"/>
      <c r="G659" s="171">
        <v>46.9</v>
      </c>
      <c r="H659" s="171">
        <f>G659+2.75</f>
        <v>49.65</v>
      </c>
      <c r="I659" s="172"/>
      <c r="J659" s="99" t="s">
        <v>428</v>
      </c>
      <c r="K659" s="107">
        <v>44561</v>
      </c>
      <c r="L659" s="169" t="s">
        <v>627</v>
      </c>
      <c r="M659" s="99"/>
      <c r="N659" s="99" t="s">
        <v>628</v>
      </c>
    </row>
    <row r="660" spans="1:46" s="89" customFormat="1" ht="15.65" hidden="1" customHeight="1" x14ac:dyDescent="0.35">
      <c r="A660" s="188" t="s">
        <v>629</v>
      </c>
      <c r="B660" s="188"/>
      <c r="C660" s="99" t="s">
        <v>626</v>
      </c>
      <c r="D660" s="150" t="s">
        <v>427</v>
      </c>
      <c r="E660" s="211" t="s">
        <v>369</v>
      </c>
      <c r="F660" s="174"/>
      <c r="G660" s="117">
        <v>39.700000000000003</v>
      </c>
      <c r="H660" s="106">
        <v>42.45</v>
      </c>
      <c r="I660" s="99"/>
      <c r="J660" s="99" t="s">
        <v>428</v>
      </c>
      <c r="K660" s="107">
        <v>44561</v>
      </c>
      <c r="L660" s="169" t="s">
        <v>630</v>
      </c>
      <c r="M660" s="99"/>
      <c r="N660" s="108" t="s">
        <v>439</v>
      </c>
    </row>
    <row r="661" spans="1:46" s="89" customFormat="1" ht="15.65" hidden="1" customHeight="1" x14ac:dyDescent="0.35">
      <c r="A661" s="188" t="s">
        <v>629</v>
      </c>
      <c r="B661" s="188"/>
      <c r="C661" s="99" t="s">
        <v>626</v>
      </c>
      <c r="D661" s="150" t="s">
        <v>444</v>
      </c>
      <c r="E661" s="211" t="s">
        <v>369</v>
      </c>
      <c r="F661" s="174"/>
      <c r="G661" s="117">
        <v>39.700000000000003</v>
      </c>
      <c r="H661" s="106">
        <v>42.45</v>
      </c>
      <c r="I661" s="99"/>
      <c r="J661" s="99" t="s">
        <v>428</v>
      </c>
      <c r="K661" s="107">
        <v>44926</v>
      </c>
      <c r="L661" s="169"/>
      <c r="M661" s="99"/>
      <c r="N661" s="108" t="s">
        <v>418</v>
      </c>
    </row>
    <row r="662" spans="1:46" s="89" customFormat="1" ht="15.65" hidden="1" customHeight="1" x14ac:dyDescent="0.35">
      <c r="A662" s="188" t="s">
        <v>631</v>
      </c>
      <c r="B662" s="188"/>
      <c r="C662" s="99" t="s">
        <v>632</v>
      </c>
      <c r="D662" s="150" t="s">
        <v>444</v>
      </c>
      <c r="E662" s="167" t="s">
        <v>369</v>
      </c>
      <c r="F662" s="174"/>
      <c r="G662" s="117">
        <v>30.3</v>
      </c>
      <c r="H662" s="117">
        <v>34.299999999999997</v>
      </c>
      <c r="I662" s="99"/>
      <c r="J662" s="99" t="s">
        <v>449</v>
      </c>
      <c r="K662" s="107">
        <v>44926</v>
      </c>
      <c r="L662" s="169" t="s">
        <v>633</v>
      </c>
      <c r="M662" s="99"/>
      <c r="N662" s="108" t="s">
        <v>443</v>
      </c>
      <c r="O662" s="71"/>
      <c r="P662" s="71"/>
      <c r="Q662" s="71"/>
      <c r="R662" s="71"/>
      <c r="S662" s="71"/>
      <c r="T662" s="71"/>
      <c r="U662" s="71"/>
      <c r="V662" s="71"/>
      <c r="W662" s="71"/>
      <c r="X662" s="71"/>
      <c r="Y662" s="71"/>
      <c r="Z662" s="71"/>
      <c r="AA662" s="71"/>
      <c r="AB662" s="71"/>
      <c r="AC662" s="71"/>
      <c r="AD662" s="71"/>
      <c r="AE662" s="71"/>
      <c r="AF662" s="71"/>
      <c r="AG662" s="71"/>
      <c r="AH662" s="71"/>
      <c r="AI662" s="71"/>
      <c r="AJ662" s="71"/>
      <c r="AK662" s="71"/>
      <c r="AL662" s="71"/>
      <c r="AM662" s="71"/>
      <c r="AN662" s="71"/>
      <c r="AO662" s="71"/>
      <c r="AP662" s="71"/>
      <c r="AQ662" s="71"/>
      <c r="AR662" s="71"/>
      <c r="AS662" s="71"/>
      <c r="AT662" s="71"/>
    </row>
    <row r="663" spans="1:46" ht="15.65" hidden="1" customHeight="1" x14ac:dyDescent="0.35">
      <c r="A663" s="175" t="s">
        <v>60</v>
      </c>
      <c r="B663" s="175"/>
      <c r="C663" s="167" t="s">
        <v>61</v>
      </c>
      <c r="D663" s="167" t="s">
        <v>427</v>
      </c>
      <c r="E663" s="167" t="s">
        <v>369</v>
      </c>
      <c r="F663" s="174"/>
      <c r="G663" s="205" t="s">
        <v>513</v>
      </c>
      <c r="H663" s="176">
        <v>70</v>
      </c>
      <c r="I663" s="99"/>
      <c r="J663" s="150" t="s">
        <v>441</v>
      </c>
      <c r="K663" s="178">
        <v>44043</v>
      </c>
      <c r="L663" s="150" t="s">
        <v>427</v>
      </c>
      <c r="M663" s="99"/>
      <c r="N663" s="99" t="s">
        <v>427</v>
      </c>
    </row>
    <row r="664" spans="1:46" s="89" customFormat="1" ht="15.65" hidden="1" customHeight="1" x14ac:dyDescent="0.35">
      <c r="A664" s="188" t="s">
        <v>60</v>
      </c>
      <c r="B664" s="188"/>
      <c r="C664" s="169" t="s">
        <v>61</v>
      </c>
      <c r="D664" s="150" t="s">
        <v>427</v>
      </c>
      <c r="E664" s="167" t="s">
        <v>369</v>
      </c>
      <c r="F664" s="174"/>
      <c r="G664" s="106">
        <v>69.25</v>
      </c>
      <c r="H664" s="117">
        <v>72</v>
      </c>
      <c r="I664" s="190"/>
      <c r="J664" s="99" t="s">
        <v>428</v>
      </c>
      <c r="K664" s="107">
        <v>44561</v>
      </c>
      <c r="L664" s="169" t="s">
        <v>634</v>
      </c>
      <c r="M664" s="99"/>
      <c r="N664" s="108" t="s">
        <v>443</v>
      </c>
      <c r="O664" s="71"/>
      <c r="P664" s="71"/>
      <c r="Q664" s="71"/>
      <c r="R664" s="71"/>
      <c r="S664" s="71"/>
      <c r="T664" s="71"/>
      <c r="U664" s="71"/>
      <c r="V664" s="71"/>
      <c r="W664" s="71"/>
      <c r="X664" s="71"/>
      <c r="Y664" s="71"/>
      <c r="Z664" s="71"/>
      <c r="AA664" s="71"/>
      <c r="AB664" s="71"/>
      <c r="AC664" s="71"/>
      <c r="AD664" s="71"/>
      <c r="AE664" s="71"/>
      <c r="AF664" s="71"/>
      <c r="AG664" s="71"/>
      <c r="AH664" s="71"/>
      <c r="AI664" s="71"/>
      <c r="AJ664" s="71"/>
      <c r="AK664" s="71"/>
      <c r="AL664" s="71"/>
      <c r="AM664" s="71"/>
      <c r="AN664" s="71"/>
      <c r="AO664" s="71"/>
      <c r="AP664" s="71"/>
      <c r="AQ664" s="71"/>
      <c r="AR664" s="71"/>
      <c r="AS664" s="71"/>
      <c r="AT664" s="71"/>
    </row>
    <row r="665" spans="1:46" s="89" customFormat="1" ht="15.65" hidden="1" customHeight="1" x14ac:dyDescent="0.35">
      <c r="A665" s="188" t="s">
        <v>60</v>
      </c>
      <c r="B665" s="188"/>
      <c r="C665" s="169" t="s">
        <v>61</v>
      </c>
      <c r="D665" s="150" t="s">
        <v>444</v>
      </c>
      <c r="E665" s="167" t="s">
        <v>369</v>
      </c>
      <c r="F665" s="174"/>
      <c r="G665" s="106">
        <v>69.25</v>
      </c>
      <c r="H665" s="117">
        <v>72</v>
      </c>
      <c r="I665" s="190"/>
      <c r="J665" s="99" t="s">
        <v>428</v>
      </c>
      <c r="K665" s="107">
        <v>44926</v>
      </c>
      <c r="L665" s="169"/>
      <c r="M665" s="99"/>
      <c r="N665" s="108" t="s">
        <v>418</v>
      </c>
      <c r="O665" s="71"/>
      <c r="P665" s="71"/>
      <c r="Q665" s="71"/>
      <c r="R665" s="71"/>
      <c r="S665" s="71"/>
      <c r="T665" s="71"/>
      <c r="U665" s="71"/>
      <c r="V665" s="71"/>
      <c r="W665" s="71"/>
      <c r="X665" s="71"/>
      <c r="Y665" s="71"/>
      <c r="Z665" s="71"/>
      <c r="AA665" s="71"/>
      <c r="AB665" s="71"/>
      <c r="AC665" s="71"/>
      <c r="AD665" s="71"/>
      <c r="AE665" s="71"/>
      <c r="AF665" s="71"/>
      <c r="AG665" s="71"/>
      <c r="AH665" s="71"/>
      <c r="AI665" s="71"/>
      <c r="AJ665" s="71"/>
      <c r="AK665" s="71"/>
      <c r="AL665" s="71"/>
      <c r="AM665" s="71"/>
      <c r="AN665" s="71"/>
      <c r="AO665" s="71"/>
      <c r="AP665" s="71"/>
      <c r="AQ665" s="71"/>
      <c r="AR665" s="71"/>
      <c r="AS665" s="71"/>
      <c r="AT665" s="71"/>
    </row>
    <row r="666" spans="1:46" ht="15.65" hidden="1" customHeight="1" x14ac:dyDescent="0.35">
      <c r="A666" s="180" t="s">
        <v>635</v>
      </c>
      <c r="B666" s="180"/>
      <c r="C666" s="181" t="s">
        <v>636</v>
      </c>
      <c r="D666" s="167" t="s">
        <v>427</v>
      </c>
      <c r="E666" s="167" t="s">
        <v>369</v>
      </c>
      <c r="F666" s="174"/>
      <c r="G666" s="171">
        <v>75.3</v>
      </c>
      <c r="H666" s="106">
        <v>78.05</v>
      </c>
      <c r="I666" s="99"/>
      <c r="J666" s="107" t="s">
        <v>428</v>
      </c>
      <c r="K666" s="107">
        <v>44196</v>
      </c>
      <c r="L666" s="99"/>
      <c r="M666" s="99"/>
      <c r="N666" s="173" t="s">
        <v>429</v>
      </c>
    </row>
    <row r="667" spans="1:46" ht="15.65" hidden="1" customHeight="1" x14ac:dyDescent="0.35">
      <c r="A667" s="175" t="s">
        <v>74</v>
      </c>
      <c r="B667" s="175"/>
      <c r="C667" s="167" t="s">
        <v>637</v>
      </c>
      <c r="D667" s="167" t="s">
        <v>427</v>
      </c>
      <c r="E667" s="167" t="s">
        <v>369</v>
      </c>
      <c r="F667" s="174"/>
      <c r="G667" s="205">
        <v>75.5</v>
      </c>
      <c r="H667" s="176">
        <f>G667+2.75</f>
        <v>78.25</v>
      </c>
      <c r="I667" s="99"/>
      <c r="J667" s="150" t="s">
        <v>441</v>
      </c>
      <c r="K667" s="178">
        <v>43920</v>
      </c>
      <c r="L667" s="150" t="s">
        <v>427</v>
      </c>
      <c r="M667" s="99"/>
      <c r="N667" s="99" t="s">
        <v>427</v>
      </c>
    </row>
    <row r="668" spans="1:46" ht="15.65" hidden="1" customHeight="1" x14ac:dyDescent="0.35">
      <c r="A668" s="180" t="s">
        <v>74</v>
      </c>
      <c r="B668" s="180"/>
      <c r="C668" s="181" t="s">
        <v>637</v>
      </c>
      <c r="D668" s="167" t="s">
        <v>427</v>
      </c>
      <c r="E668" s="167" t="s">
        <v>369</v>
      </c>
      <c r="F668" s="174"/>
      <c r="G668" s="171">
        <v>75.5</v>
      </c>
      <c r="H668" s="106">
        <v>78.25</v>
      </c>
      <c r="I668" s="99"/>
      <c r="J668" s="107" t="s">
        <v>428</v>
      </c>
      <c r="K668" s="107">
        <v>44561</v>
      </c>
      <c r="L668" s="169" t="s">
        <v>638</v>
      </c>
      <c r="M668" s="99"/>
      <c r="N668" s="173" t="s">
        <v>443</v>
      </c>
    </row>
    <row r="669" spans="1:46" ht="15.65" hidden="1" customHeight="1" x14ac:dyDescent="0.35">
      <c r="A669" s="180" t="s">
        <v>74</v>
      </c>
      <c r="B669" s="180"/>
      <c r="C669" s="181" t="s">
        <v>637</v>
      </c>
      <c r="D669" s="167" t="s">
        <v>444</v>
      </c>
      <c r="E669" s="167" t="s">
        <v>369</v>
      </c>
      <c r="F669" s="174"/>
      <c r="G669" s="171">
        <v>75.5</v>
      </c>
      <c r="H669" s="106">
        <v>78.25</v>
      </c>
      <c r="I669" s="99"/>
      <c r="J669" s="107" t="s">
        <v>428</v>
      </c>
      <c r="K669" s="107">
        <v>44926</v>
      </c>
      <c r="L669" s="169"/>
      <c r="M669" s="99"/>
      <c r="N669" s="173" t="s">
        <v>418</v>
      </c>
    </row>
    <row r="670" spans="1:46" ht="15.65" hidden="1" customHeight="1" x14ac:dyDescent="0.35">
      <c r="A670" s="204" t="s">
        <v>639</v>
      </c>
      <c r="B670" s="204"/>
      <c r="C670" s="99" t="s">
        <v>640</v>
      </c>
      <c r="D670" s="150" t="s">
        <v>444</v>
      </c>
      <c r="E670" s="167" t="s">
        <v>369</v>
      </c>
      <c r="F670" s="174"/>
      <c r="G670" s="106">
        <v>61.35</v>
      </c>
      <c r="H670" s="117">
        <f t="shared" ref="H670:H676" si="5">G670+2.75</f>
        <v>64.099999999999994</v>
      </c>
      <c r="I670" s="99"/>
      <c r="J670" s="99" t="s">
        <v>487</v>
      </c>
      <c r="K670" s="107">
        <v>44926</v>
      </c>
      <c r="L670" s="169" t="s">
        <v>641</v>
      </c>
      <c r="M670" s="99"/>
      <c r="N670" s="108" t="s">
        <v>439</v>
      </c>
    </row>
    <row r="671" spans="1:46" ht="15.65" hidden="1" customHeight="1" x14ac:dyDescent="0.35">
      <c r="A671" s="175" t="s">
        <v>642</v>
      </c>
      <c r="B671" s="175"/>
      <c r="C671" s="167" t="s">
        <v>643</v>
      </c>
      <c r="D671" s="167" t="s">
        <v>427</v>
      </c>
      <c r="E671" s="167" t="s">
        <v>369</v>
      </c>
      <c r="F671" s="174"/>
      <c r="G671" s="176">
        <v>87</v>
      </c>
      <c r="H671" s="176">
        <f t="shared" si="5"/>
        <v>89.75</v>
      </c>
      <c r="I671" s="177"/>
      <c r="J671" s="150" t="s">
        <v>428</v>
      </c>
      <c r="K671" s="178">
        <v>44196</v>
      </c>
      <c r="L671" s="170" t="s">
        <v>644</v>
      </c>
      <c r="M671" s="150" t="s">
        <v>20</v>
      </c>
      <c r="N671" s="150" t="s">
        <v>645</v>
      </c>
    </row>
    <row r="672" spans="1:46" ht="15.65" hidden="1" customHeight="1" x14ac:dyDescent="0.35">
      <c r="A672" s="175" t="s">
        <v>642</v>
      </c>
      <c r="B672" s="175"/>
      <c r="C672" s="167" t="s">
        <v>643</v>
      </c>
      <c r="D672" s="167" t="s">
        <v>427</v>
      </c>
      <c r="E672" s="167" t="s">
        <v>369</v>
      </c>
      <c r="F672" s="174"/>
      <c r="G672" s="176">
        <v>131.85</v>
      </c>
      <c r="H672" s="176">
        <f t="shared" si="5"/>
        <v>134.6</v>
      </c>
      <c r="I672" s="177"/>
      <c r="J672" s="150" t="s">
        <v>432</v>
      </c>
      <c r="K672" s="178">
        <v>44561</v>
      </c>
      <c r="L672" s="170" t="s">
        <v>644</v>
      </c>
      <c r="M672" s="150" t="s">
        <v>20</v>
      </c>
      <c r="N672" s="150" t="s">
        <v>433</v>
      </c>
    </row>
    <row r="673" spans="1:46" ht="15.65" hidden="1" customHeight="1" x14ac:dyDescent="0.35">
      <c r="A673" s="180" t="s">
        <v>642</v>
      </c>
      <c r="B673" s="180"/>
      <c r="C673" s="181" t="s">
        <v>643</v>
      </c>
      <c r="D673" s="167" t="s">
        <v>427</v>
      </c>
      <c r="E673" s="167" t="s">
        <v>369</v>
      </c>
      <c r="F673" s="174"/>
      <c r="G673" s="171">
        <v>226.92</v>
      </c>
      <c r="H673" s="171">
        <f t="shared" si="5"/>
        <v>229.67</v>
      </c>
      <c r="I673" s="172"/>
      <c r="J673" s="99" t="s">
        <v>428</v>
      </c>
      <c r="K673" s="107">
        <v>44561</v>
      </c>
      <c r="L673" s="169" t="s">
        <v>646</v>
      </c>
      <c r="M673" s="99" t="s">
        <v>20</v>
      </c>
      <c r="N673" s="99" t="s">
        <v>439</v>
      </c>
    </row>
    <row r="674" spans="1:46" s="89" customFormat="1" ht="15.65" hidden="1" customHeight="1" x14ac:dyDescent="0.35">
      <c r="A674" s="180" t="s">
        <v>642</v>
      </c>
      <c r="B674" s="180"/>
      <c r="C674" s="181" t="s">
        <v>643</v>
      </c>
      <c r="D674" s="167" t="s">
        <v>427</v>
      </c>
      <c r="E674" s="167" t="s">
        <v>369</v>
      </c>
      <c r="F674" s="174"/>
      <c r="G674" s="171">
        <v>203.54</v>
      </c>
      <c r="H674" s="171">
        <f t="shared" si="5"/>
        <v>206.29</v>
      </c>
      <c r="I674" s="172"/>
      <c r="J674" s="99" t="s">
        <v>432</v>
      </c>
      <c r="K674" s="107">
        <v>44561</v>
      </c>
      <c r="L674" s="169" t="s">
        <v>646</v>
      </c>
      <c r="M674" s="99" t="s">
        <v>20</v>
      </c>
      <c r="N674" s="99" t="s">
        <v>443</v>
      </c>
      <c r="O674" s="71"/>
      <c r="P674" s="71"/>
      <c r="Q674" s="71"/>
      <c r="R674" s="71"/>
      <c r="S674" s="71"/>
      <c r="T674" s="71"/>
      <c r="U674" s="71"/>
      <c r="V674" s="71"/>
      <c r="W674" s="71"/>
      <c r="X674" s="71"/>
      <c r="Y674" s="71"/>
      <c r="Z674" s="71"/>
      <c r="AA674" s="71"/>
      <c r="AB674" s="71"/>
      <c r="AC674" s="71"/>
      <c r="AD674" s="71"/>
      <c r="AE674" s="71"/>
      <c r="AF674" s="71"/>
      <c r="AG674" s="71"/>
      <c r="AH674" s="71"/>
      <c r="AI674" s="71"/>
      <c r="AJ674" s="71"/>
      <c r="AK674" s="71"/>
      <c r="AL674" s="71"/>
      <c r="AM674" s="71"/>
      <c r="AN674" s="71"/>
      <c r="AO674" s="71"/>
      <c r="AP674" s="71"/>
      <c r="AQ674" s="71"/>
      <c r="AR674" s="71"/>
      <c r="AS674" s="71"/>
      <c r="AT674" s="71"/>
    </row>
    <row r="675" spans="1:46" s="89" customFormat="1" ht="15.65" hidden="1" customHeight="1" x14ac:dyDescent="0.35">
      <c r="A675" s="188" t="s">
        <v>647</v>
      </c>
      <c r="B675" s="188"/>
      <c r="C675" s="99" t="s">
        <v>648</v>
      </c>
      <c r="D675" s="150" t="s">
        <v>427</v>
      </c>
      <c r="E675" s="168" t="s">
        <v>369</v>
      </c>
      <c r="F675" s="174"/>
      <c r="G675" s="117">
        <v>210.5</v>
      </c>
      <c r="H675" s="106">
        <f t="shared" si="5"/>
        <v>213.25</v>
      </c>
      <c r="I675" s="99"/>
      <c r="J675" s="99" t="s">
        <v>449</v>
      </c>
      <c r="K675" s="107">
        <v>44377</v>
      </c>
      <c r="L675" s="169" t="s">
        <v>649</v>
      </c>
      <c r="M675" s="99"/>
      <c r="N675" s="108" t="s">
        <v>439</v>
      </c>
      <c r="O675" s="71"/>
      <c r="P675" s="71"/>
      <c r="Q675" s="71"/>
      <c r="R675" s="71"/>
      <c r="S675" s="71"/>
      <c r="T675" s="71"/>
      <c r="U675" s="71"/>
      <c r="V675" s="71"/>
      <c r="W675" s="71"/>
      <c r="X675" s="71"/>
      <c r="Y675" s="71"/>
      <c r="Z675" s="71"/>
      <c r="AA675" s="71"/>
      <c r="AB675" s="71"/>
      <c r="AC675" s="71"/>
      <c r="AD675" s="71"/>
      <c r="AE675" s="71"/>
      <c r="AF675" s="71"/>
      <c r="AG675" s="71"/>
      <c r="AH675" s="71"/>
      <c r="AI675" s="71"/>
      <c r="AJ675" s="71"/>
      <c r="AK675" s="71"/>
      <c r="AL675" s="71"/>
      <c r="AM675" s="71"/>
      <c r="AN675" s="71"/>
      <c r="AO675" s="71"/>
      <c r="AP675" s="71"/>
      <c r="AQ675" s="71"/>
      <c r="AR675" s="71"/>
      <c r="AS675" s="71"/>
      <c r="AT675" s="71"/>
    </row>
    <row r="676" spans="1:46" ht="15.65" hidden="1" customHeight="1" x14ac:dyDescent="0.35">
      <c r="A676" s="188" t="s">
        <v>647</v>
      </c>
      <c r="B676" s="188"/>
      <c r="C676" s="99" t="s">
        <v>648</v>
      </c>
      <c r="D676" s="150" t="s">
        <v>444</v>
      </c>
      <c r="E676" s="168" t="s">
        <v>369</v>
      </c>
      <c r="F676" s="174"/>
      <c r="G676" s="117">
        <v>210.5</v>
      </c>
      <c r="H676" s="106">
        <f t="shared" si="5"/>
        <v>213.25</v>
      </c>
      <c r="I676" s="99"/>
      <c r="J676" s="99" t="s">
        <v>449</v>
      </c>
      <c r="K676" s="107" t="s">
        <v>650</v>
      </c>
      <c r="L676" s="169"/>
      <c r="M676" s="99"/>
      <c r="N676" s="108" t="s">
        <v>418</v>
      </c>
    </row>
    <row r="677" spans="1:46" ht="15.65" hidden="1" customHeight="1" x14ac:dyDescent="0.35">
      <c r="A677" s="188" t="s">
        <v>651</v>
      </c>
      <c r="B677" s="188"/>
      <c r="C677" s="99" t="s">
        <v>652</v>
      </c>
      <c r="D677" s="150" t="s">
        <v>444</v>
      </c>
      <c r="E677" s="216" t="s">
        <v>653</v>
      </c>
      <c r="F677" s="174"/>
      <c r="G677" s="203">
        <v>1780</v>
      </c>
      <c r="H677" s="215">
        <v>1784</v>
      </c>
      <c r="I677" s="99"/>
      <c r="J677" s="99" t="s">
        <v>428</v>
      </c>
      <c r="K677" s="107">
        <v>44742</v>
      </c>
      <c r="L677" s="169" t="s">
        <v>654</v>
      </c>
      <c r="M677" s="99"/>
      <c r="N677" s="99" t="s">
        <v>443</v>
      </c>
    </row>
    <row r="678" spans="1:46" ht="15.65" hidden="1" customHeight="1" x14ac:dyDescent="0.35">
      <c r="A678" s="204" t="s">
        <v>655</v>
      </c>
      <c r="B678" s="204"/>
      <c r="C678" s="99" t="s">
        <v>656</v>
      </c>
      <c r="D678" s="150" t="s">
        <v>444</v>
      </c>
      <c r="E678" s="216" t="s">
        <v>653</v>
      </c>
      <c r="F678" s="174"/>
      <c r="G678" s="106">
        <v>181.55</v>
      </c>
      <c r="H678" s="106">
        <v>185.55</v>
      </c>
      <c r="I678" s="99"/>
      <c r="J678" s="99" t="s">
        <v>487</v>
      </c>
      <c r="K678" s="107">
        <v>44742</v>
      </c>
      <c r="L678" s="169" t="s">
        <v>657</v>
      </c>
      <c r="M678" s="99"/>
      <c r="N678" s="108" t="s">
        <v>443</v>
      </c>
    </row>
    <row r="679" spans="1:46" ht="15.65" hidden="1" customHeight="1" x14ac:dyDescent="0.35">
      <c r="A679" s="180" t="s">
        <v>658</v>
      </c>
      <c r="B679" s="180"/>
      <c r="C679" s="181" t="s">
        <v>659</v>
      </c>
      <c r="D679" s="167" t="s">
        <v>427</v>
      </c>
      <c r="E679" s="167" t="s">
        <v>369</v>
      </c>
      <c r="F679" s="174"/>
      <c r="G679" s="171">
        <v>64.75</v>
      </c>
      <c r="H679" s="171">
        <f>G679+2.75</f>
        <v>67.5</v>
      </c>
      <c r="I679" s="172"/>
      <c r="J679" s="99" t="s">
        <v>509</v>
      </c>
      <c r="K679" s="107">
        <v>44561</v>
      </c>
      <c r="L679" s="99"/>
      <c r="M679" s="99" t="s">
        <v>20</v>
      </c>
      <c r="N679" s="99" t="s">
        <v>457</v>
      </c>
    </row>
    <row r="680" spans="1:46" s="89" customFormat="1" ht="15.65" hidden="1" customHeight="1" x14ac:dyDescent="0.35">
      <c r="A680" s="180" t="s">
        <v>658</v>
      </c>
      <c r="B680" s="180"/>
      <c r="C680" s="181" t="s">
        <v>659</v>
      </c>
      <c r="D680" s="167" t="s">
        <v>427</v>
      </c>
      <c r="E680" s="167" t="s">
        <v>369</v>
      </c>
      <c r="F680" s="174"/>
      <c r="G680" s="171">
        <v>64.75</v>
      </c>
      <c r="H680" s="171">
        <f>G680+2.75</f>
        <v>67.5</v>
      </c>
      <c r="I680" s="172"/>
      <c r="J680" s="99" t="s">
        <v>428</v>
      </c>
      <c r="K680" s="107">
        <v>44196</v>
      </c>
      <c r="L680" s="99"/>
      <c r="M680" s="99" t="s">
        <v>20</v>
      </c>
      <c r="N680" s="99" t="s">
        <v>429</v>
      </c>
      <c r="O680" s="71"/>
      <c r="P680" s="71"/>
      <c r="Q680" s="71"/>
      <c r="R680" s="71"/>
      <c r="S680" s="71"/>
      <c r="T680" s="71"/>
      <c r="U680" s="71"/>
      <c r="V680" s="71"/>
      <c r="W680" s="71"/>
      <c r="X680" s="71"/>
      <c r="Y680" s="71"/>
      <c r="Z680" s="71"/>
      <c r="AA680" s="71"/>
      <c r="AB680" s="71"/>
      <c r="AC680" s="71"/>
      <c r="AD680" s="71"/>
      <c r="AE680" s="71"/>
      <c r="AF680" s="71"/>
      <c r="AG680" s="71"/>
      <c r="AH680" s="71"/>
      <c r="AI680" s="71"/>
      <c r="AJ680" s="71"/>
      <c r="AK680" s="71"/>
      <c r="AL680" s="71"/>
      <c r="AM680" s="71"/>
      <c r="AN680" s="71"/>
      <c r="AO680" s="71"/>
      <c r="AP680" s="71"/>
      <c r="AQ680" s="71"/>
      <c r="AR680" s="71"/>
      <c r="AS680" s="71"/>
      <c r="AT680" s="71"/>
    </row>
    <row r="681" spans="1:46" ht="15.65" hidden="1" customHeight="1" x14ac:dyDescent="0.35">
      <c r="A681" s="188" t="s">
        <v>658</v>
      </c>
      <c r="B681" s="188"/>
      <c r="C681" s="99" t="s">
        <v>660</v>
      </c>
      <c r="D681" s="150" t="s">
        <v>427</v>
      </c>
      <c r="E681" s="150" t="s">
        <v>369</v>
      </c>
      <c r="F681" s="174"/>
      <c r="G681" s="106">
        <v>64.75</v>
      </c>
      <c r="H681" s="117">
        <v>67.5</v>
      </c>
      <c r="I681" s="190"/>
      <c r="J681" s="99" t="s">
        <v>477</v>
      </c>
      <c r="K681" s="107">
        <v>44377</v>
      </c>
      <c r="L681" s="169" t="s">
        <v>486</v>
      </c>
      <c r="M681" s="99" t="s">
        <v>20</v>
      </c>
      <c r="N681" s="108" t="s">
        <v>443</v>
      </c>
    </row>
    <row r="682" spans="1:46" ht="15.65" hidden="1" customHeight="1" x14ac:dyDescent="0.35">
      <c r="A682" s="188" t="s">
        <v>658</v>
      </c>
      <c r="B682" s="188"/>
      <c r="C682" s="99" t="s">
        <v>660</v>
      </c>
      <c r="D682" s="150" t="s">
        <v>661</v>
      </c>
      <c r="E682" s="150" t="s">
        <v>369</v>
      </c>
      <c r="F682" s="174"/>
      <c r="G682" s="106">
        <v>64.75</v>
      </c>
      <c r="H682" s="117">
        <v>67.5</v>
      </c>
      <c r="I682" s="190"/>
      <c r="J682" s="99" t="s">
        <v>477</v>
      </c>
      <c r="K682" s="107">
        <v>44925</v>
      </c>
      <c r="L682" s="169"/>
      <c r="M682" s="99" t="s">
        <v>20</v>
      </c>
      <c r="N682" s="108" t="s">
        <v>418</v>
      </c>
    </row>
    <row r="683" spans="1:46" ht="15.65" hidden="1" customHeight="1" x14ac:dyDescent="0.35">
      <c r="A683" s="188" t="s">
        <v>662</v>
      </c>
      <c r="B683" s="188"/>
      <c r="C683" s="181" t="s">
        <v>663</v>
      </c>
      <c r="D683" s="167" t="s">
        <v>427</v>
      </c>
      <c r="E683" s="150" t="s">
        <v>369</v>
      </c>
      <c r="F683" s="174"/>
      <c r="G683" s="171">
        <v>80.849999999999994</v>
      </c>
      <c r="H683" s="171">
        <v>83.6</v>
      </c>
      <c r="I683" s="172"/>
      <c r="J683" s="99" t="s">
        <v>428</v>
      </c>
      <c r="K683" s="107">
        <v>44196</v>
      </c>
      <c r="L683" s="99" t="s">
        <v>494</v>
      </c>
      <c r="M683" s="99"/>
      <c r="N683" s="182" t="s">
        <v>429</v>
      </c>
    </row>
    <row r="684" spans="1:46" s="89" customFormat="1" ht="15.65" hidden="1" customHeight="1" x14ac:dyDescent="0.35">
      <c r="A684" s="180" t="s">
        <v>664</v>
      </c>
      <c r="B684" s="180"/>
      <c r="C684" s="181" t="s">
        <v>665</v>
      </c>
      <c r="D684" s="167" t="s">
        <v>427</v>
      </c>
      <c r="E684" s="167" t="s">
        <v>369</v>
      </c>
      <c r="F684" s="174"/>
      <c r="G684" s="171">
        <v>35.950000000000003</v>
      </c>
      <c r="H684" s="171">
        <f>G684+2.75</f>
        <v>38.700000000000003</v>
      </c>
      <c r="I684" s="172"/>
      <c r="J684" s="99" t="s">
        <v>428</v>
      </c>
      <c r="K684" s="107">
        <v>44561</v>
      </c>
      <c r="L684" s="99" t="s">
        <v>494</v>
      </c>
      <c r="M684" s="99"/>
      <c r="N684" s="99" t="s">
        <v>457</v>
      </c>
      <c r="O684" s="71"/>
      <c r="P684" s="71"/>
      <c r="Q684" s="71"/>
      <c r="R684" s="71"/>
      <c r="S684" s="71"/>
      <c r="T684" s="71"/>
      <c r="U684" s="71"/>
      <c r="V684" s="71"/>
      <c r="W684" s="71"/>
      <c r="X684" s="71"/>
      <c r="Y684" s="71"/>
      <c r="Z684" s="71"/>
      <c r="AA684" s="71"/>
      <c r="AB684" s="71"/>
      <c r="AC684" s="71"/>
      <c r="AD684" s="71"/>
      <c r="AE684" s="71"/>
      <c r="AF684" s="71"/>
      <c r="AG684" s="71"/>
      <c r="AH684" s="71"/>
      <c r="AI684" s="71"/>
      <c r="AJ684" s="71"/>
      <c r="AK684" s="71"/>
      <c r="AL684" s="71"/>
      <c r="AM684" s="71"/>
      <c r="AN684" s="71"/>
      <c r="AO684" s="71"/>
      <c r="AP684" s="71"/>
      <c r="AQ684" s="71"/>
      <c r="AR684" s="71"/>
      <c r="AS684" s="71"/>
      <c r="AT684" s="71"/>
    </row>
    <row r="685" spans="1:46" s="89" customFormat="1" ht="15.65" hidden="1" customHeight="1" x14ac:dyDescent="0.35">
      <c r="A685" s="180" t="s">
        <v>286</v>
      </c>
      <c r="B685" s="180"/>
      <c r="C685" s="169" t="s">
        <v>666</v>
      </c>
      <c r="D685" s="167" t="s">
        <v>427</v>
      </c>
      <c r="E685" s="167" t="s">
        <v>369</v>
      </c>
      <c r="F685" s="174"/>
      <c r="G685" s="171">
        <v>33.5</v>
      </c>
      <c r="H685" s="106">
        <v>36.25</v>
      </c>
      <c r="I685" s="99"/>
      <c r="J685" s="99" t="s">
        <v>432</v>
      </c>
      <c r="K685" s="107">
        <v>44196</v>
      </c>
      <c r="L685" s="99"/>
      <c r="M685" s="99" t="s">
        <v>20</v>
      </c>
      <c r="N685" s="173" t="s">
        <v>519</v>
      </c>
      <c r="O685" s="71"/>
      <c r="P685" s="71"/>
      <c r="Q685" s="71"/>
      <c r="R685" s="71"/>
      <c r="S685" s="71"/>
      <c r="T685" s="71"/>
      <c r="U685" s="71"/>
      <c r="V685" s="71"/>
      <c r="W685" s="71"/>
      <c r="X685" s="71"/>
      <c r="Y685" s="71"/>
      <c r="Z685" s="71"/>
      <c r="AA685" s="71"/>
      <c r="AB685" s="71"/>
      <c r="AC685" s="71"/>
      <c r="AD685" s="71"/>
      <c r="AE685" s="71"/>
      <c r="AF685" s="71"/>
      <c r="AG685" s="71"/>
      <c r="AH685" s="71"/>
      <c r="AI685" s="71"/>
      <c r="AJ685" s="71"/>
      <c r="AK685" s="71"/>
      <c r="AL685" s="71"/>
      <c r="AM685" s="71"/>
      <c r="AN685" s="71"/>
      <c r="AO685" s="71"/>
      <c r="AP685" s="71"/>
      <c r="AQ685" s="71"/>
      <c r="AR685" s="71"/>
      <c r="AS685" s="71"/>
      <c r="AT685" s="71"/>
    </row>
    <row r="686" spans="1:46" s="89" customFormat="1" ht="15.65" hidden="1" customHeight="1" x14ac:dyDescent="0.35">
      <c r="A686" s="180" t="s">
        <v>286</v>
      </c>
      <c r="B686" s="180"/>
      <c r="C686" s="181" t="s">
        <v>666</v>
      </c>
      <c r="D686" s="167" t="s">
        <v>427</v>
      </c>
      <c r="E686" s="167" t="s">
        <v>369</v>
      </c>
      <c r="F686" s="174"/>
      <c r="G686" s="171">
        <v>37.82</v>
      </c>
      <c r="H686" s="106">
        <v>40.57</v>
      </c>
      <c r="I686" s="99"/>
      <c r="J686" s="107" t="s">
        <v>437</v>
      </c>
      <c r="K686" s="107">
        <v>44196</v>
      </c>
      <c r="L686" s="99"/>
      <c r="M686" s="99" t="s">
        <v>104</v>
      </c>
      <c r="N686" s="173" t="s">
        <v>429</v>
      </c>
      <c r="O686" s="71"/>
      <c r="P686" s="71"/>
      <c r="Q686" s="71"/>
      <c r="R686" s="71"/>
      <c r="S686" s="71"/>
      <c r="T686" s="71"/>
      <c r="U686" s="71"/>
      <c r="V686" s="71"/>
      <c r="W686" s="71"/>
      <c r="X686" s="71"/>
      <c r="Y686" s="71"/>
      <c r="Z686" s="71"/>
      <c r="AA686" s="71"/>
      <c r="AB686" s="71"/>
      <c r="AC686" s="71"/>
      <c r="AD686" s="71"/>
      <c r="AE686" s="71"/>
      <c r="AF686" s="71"/>
      <c r="AG686" s="71"/>
      <c r="AH686" s="71"/>
      <c r="AI686" s="71"/>
      <c r="AJ686" s="71"/>
      <c r="AK686" s="71"/>
      <c r="AL686" s="71"/>
      <c r="AM686" s="71"/>
      <c r="AN686" s="71"/>
      <c r="AO686" s="71"/>
      <c r="AP686" s="71"/>
      <c r="AQ686" s="71"/>
      <c r="AR686" s="71"/>
      <c r="AS686" s="71"/>
      <c r="AT686" s="71"/>
    </row>
    <row r="687" spans="1:46" ht="15.65" hidden="1" customHeight="1" x14ac:dyDescent="0.35">
      <c r="A687" s="188" t="s">
        <v>667</v>
      </c>
      <c r="B687" s="188"/>
      <c r="C687" s="99" t="s">
        <v>668</v>
      </c>
      <c r="D687" s="150" t="s">
        <v>427</v>
      </c>
      <c r="E687" s="150" t="s">
        <v>369</v>
      </c>
      <c r="F687" s="174"/>
      <c r="G687" s="117">
        <v>38</v>
      </c>
      <c r="H687" s="106">
        <v>40.75</v>
      </c>
      <c r="I687" s="99"/>
      <c r="J687" s="99" t="s">
        <v>428</v>
      </c>
      <c r="K687" s="107">
        <v>44561</v>
      </c>
      <c r="L687" s="169" t="s">
        <v>669</v>
      </c>
      <c r="M687" s="99"/>
      <c r="N687" s="108" t="s">
        <v>439</v>
      </c>
    </row>
    <row r="688" spans="1:46" ht="15.65" hidden="1" customHeight="1" x14ac:dyDescent="0.35">
      <c r="A688" s="188" t="s">
        <v>667</v>
      </c>
      <c r="B688" s="188"/>
      <c r="C688" s="99" t="s">
        <v>668</v>
      </c>
      <c r="D688" s="150" t="s">
        <v>444</v>
      </c>
      <c r="E688" s="170" t="s">
        <v>369</v>
      </c>
      <c r="F688" s="174"/>
      <c r="G688" s="117">
        <v>38</v>
      </c>
      <c r="H688" s="106">
        <v>40.75</v>
      </c>
      <c r="I688" s="99"/>
      <c r="J688" s="99" t="s">
        <v>428</v>
      </c>
      <c r="K688" s="107">
        <v>44926</v>
      </c>
      <c r="L688" s="169"/>
      <c r="M688" s="99"/>
      <c r="N688" s="108" t="s">
        <v>418</v>
      </c>
    </row>
    <row r="689" spans="1:46" ht="15.65" hidden="1" customHeight="1" x14ac:dyDescent="0.35">
      <c r="A689" s="175" t="s">
        <v>670</v>
      </c>
      <c r="B689" s="175"/>
      <c r="C689" s="167" t="s">
        <v>671</v>
      </c>
      <c r="D689" s="167" t="s">
        <v>427</v>
      </c>
      <c r="E689" s="167" t="s">
        <v>369</v>
      </c>
      <c r="F689" s="174"/>
      <c r="G689" s="176">
        <v>34.200000000000003</v>
      </c>
      <c r="H689" s="176">
        <f>G689+2.75</f>
        <v>36.950000000000003</v>
      </c>
      <c r="I689" s="177"/>
      <c r="J689" s="150" t="s">
        <v>441</v>
      </c>
      <c r="K689" s="178">
        <v>44043</v>
      </c>
      <c r="L689" s="150" t="s">
        <v>427</v>
      </c>
      <c r="M689" s="99"/>
      <c r="N689" s="99" t="s">
        <v>427</v>
      </c>
    </row>
    <row r="690" spans="1:46" ht="15.65" hidden="1" customHeight="1" x14ac:dyDescent="0.35">
      <c r="A690" s="188" t="s">
        <v>670</v>
      </c>
      <c r="B690" s="188"/>
      <c r="C690" s="169" t="s">
        <v>671</v>
      </c>
      <c r="D690" s="150" t="s">
        <v>427</v>
      </c>
      <c r="E690" s="150" t="s">
        <v>369</v>
      </c>
      <c r="F690" s="174"/>
      <c r="G690" s="117">
        <v>34.200000000000003</v>
      </c>
      <c r="H690" s="106">
        <v>36.950000000000003</v>
      </c>
      <c r="I690" s="99"/>
      <c r="J690" s="99" t="s">
        <v>428</v>
      </c>
      <c r="K690" s="107">
        <v>44561</v>
      </c>
      <c r="L690" s="169" t="s">
        <v>672</v>
      </c>
      <c r="M690" s="99"/>
      <c r="N690" s="108" t="s">
        <v>443</v>
      </c>
    </row>
    <row r="691" spans="1:46" ht="15.65" hidden="1" customHeight="1" x14ac:dyDescent="0.35">
      <c r="A691" s="188" t="s">
        <v>670</v>
      </c>
      <c r="B691" s="188"/>
      <c r="C691" s="169" t="s">
        <v>671</v>
      </c>
      <c r="D691" s="150" t="s">
        <v>444</v>
      </c>
      <c r="E691" s="150"/>
      <c r="F691" s="174"/>
      <c r="G691" s="117">
        <v>34.200000000000003</v>
      </c>
      <c r="H691" s="106">
        <v>36.950000000000003</v>
      </c>
      <c r="I691" s="99"/>
      <c r="J691" s="99" t="s">
        <v>428</v>
      </c>
      <c r="K691" s="107">
        <v>44926</v>
      </c>
      <c r="L691" s="169"/>
      <c r="M691" s="99"/>
      <c r="N691" s="108" t="s">
        <v>418</v>
      </c>
    </row>
    <row r="692" spans="1:46" s="89" customFormat="1" ht="15.65" hidden="1" customHeight="1" x14ac:dyDescent="0.35">
      <c r="A692" s="180" t="s">
        <v>673</v>
      </c>
      <c r="B692" s="180"/>
      <c r="C692" s="181" t="s">
        <v>674</v>
      </c>
      <c r="D692" s="167" t="s">
        <v>427</v>
      </c>
      <c r="E692" s="167" t="s">
        <v>369</v>
      </c>
      <c r="F692" s="174"/>
      <c r="G692" s="171">
        <v>31.53</v>
      </c>
      <c r="H692" s="171">
        <f t="shared" ref="H692:H703" si="6">G692+2.75</f>
        <v>34.28</v>
      </c>
      <c r="I692" s="172"/>
      <c r="J692" s="99" t="s">
        <v>449</v>
      </c>
      <c r="K692" s="107">
        <v>44196</v>
      </c>
      <c r="L692" s="99" t="s">
        <v>494</v>
      </c>
      <c r="M692" s="99" t="s">
        <v>20</v>
      </c>
      <c r="N692" s="99" t="s">
        <v>427</v>
      </c>
      <c r="O692" s="71"/>
      <c r="P692" s="71"/>
      <c r="Q692" s="71"/>
      <c r="R692" s="71"/>
      <c r="S692" s="71"/>
      <c r="T692" s="71"/>
      <c r="U692" s="71"/>
      <c r="V692" s="71"/>
      <c r="W692" s="71"/>
      <c r="X692" s="71"/>
      <c r="Y692" s="71"/>
      <c r="Z692" s="71"/>
      <c r="AA692" s="71"/>
      <c r="AB692" s="71"/>
      <c r="AC692" s="71"/>
      <c r="AD692" s="71"/>
      <c r="AE692" s="71"/>
      <c r="AF692" s="71"/>
      <c r="AG692" s="71"/>
      <c r="AH692" s="71"/>
      <c r="AI692" s="71"/>
      <c r="AJ692" s="71"/>
      <c r="AK692" s="71"/>
      <c r="AL692" s="71"/>
      <c r="AM692" s="71"/>
      <c r="AN692" s="71"/>
      <c r="AO692" s="71"/>
      <c r="AP692" s="71"/>
      <c r="AQ692" s="71"/>
      <c r="AR692" s="71"/>
      <c r="AS692" s="71"/>
      <c r="AT692" s="71"/>
    </row>
    <row r="693" spans="1:46" s="89" customFormat="1" ht="15.65" hidden="1" customHeight="1" x14ac:dyDescent="0.35">
      <c r="A693" s="180" t="s">
        <v>673</v>
      </c>
      <c r="B693" s="180"/>
      <c r="C693" s="181" t="s">
        <v>674</v>
      </c>
      <c r="D693" s="167" t="s">
        <v>474</v>
      </c>
      <c r="E693" s="167" t="s">
        <v>369</v>
      </c>
      <c r="F693" s="174"/>
      <c r="G693" s="171">
        <v>31.53</v>
      </c>
      <c r="H693" s="171">
        <f t="shared" si="6"/>
        <v>34.28</v>
      </c>
      <c r="I693" s="172"/>
      <c r="J693" s="99" t="s">
        <v>428</v>
      </c>
      <c r="K693" s="107">
        <v>44196</v>
      </c>
      <c r="L693" s="99"/>
      <c r="M693" s="99" t="s">
        <v>20</v>
      </c>
      <c r="N693" s="99" t="s">
        <v>429</v>
      </c>
      <c r="O693" s="71"/>
      <c r="P693" s="71"/>
      <c r="Q693" s="71"/>
      <c r="R693" s="71"/>
      <c r="S693" s="71"/>
      <c r="T693" s="71"/>
      <c r="U693" s="71"/>
      <c r="V693" s="71"/>
      <c r="W693" s="71"/>
      <c r="X693" s="71"/>
      <c r="Y693" s="71"/>
      <c r="Z693" s="71"/>
      <c r="AA693" s="71"/>
      <c r="AB693" s="71"/>
      <c r="AC693" s="71"/>
      <c r="AD693" s="71"/>
      <c r="AE693" s="71"/>
      <c r="AF693" s="71"/>
      <c r="AG693" s="71"/>
      <c r="AH693" s="71"/>
      <c r="AI693" s="71"/>
      <c r="AJ693" s="71"/>
      <c r="AK693" s="71"/>
      <c r="AL693" s="71"/>
      <c r="AM693" s="71"/>
      <c r="AN693" s="71"/>
      <c r="AO693" s="71"/>
      <c r="AP693" s="71"/>
      <c r="AQ693" s="71"/>
      <c r="AR693" s="71"/>
      <c r="AS693" s="71"/>
      <c r="AT693" s="71"/>
    </row>
    <row r="694" spans="1:46" s="89" customFormat="1" ht="15.65" hidden="1" customHeight="1" x14ac:dyDescent="0.35">
      <c r="A694" s="180" t="s">
        <v>296</v>
      </c>
      <c r="B694" s="180"/>
      <c r="C694" s="181" t="s">
        <v>675</v>
      </c>
      <c r="D694" s="167" t="s">
        <v>427</v>
      </c>
      <c r="E694" s="167" t="s">
        <v>369</v>
      </c>
      <c r="F694" s="174"/>
      <c r="G694" s="171">
        <v>31.53</v>
      </c>
      <c r="H694" s="171">
        <f t="shared" si="6"/>
        <v>34.28</v>
      </c>
      <c r="I694" s="172"/>
      <c r="J694" s="99" t="s">
        <v>428</v>
      </c>
      <c r="K694" s="107">
        <v>44561</v>
      </c>
      <c r="L694" s="99" t="s">
        <v>494</v>
      </c>
      <c r="M694" s="99" t="s">
        <v>20</v>
      </c>
      <c r="N694" s="217" t="s">
        <v>457</v>
      </c>
      <c r="O694" s="71"/>
      <c r="P694" s="71"/>
      <c r="Q694" s="71"/>
      <c r="R694" s="71"/>
      <c r="S694" s="71"/>
      <c r="T694" s="71"/>
      <c r="U694" s="71"/>
      <c r="V694" s="71"/>
      <c r="W694" s="71"/>
      <c r="X694" s="71"/>
      <c r="Y694" s="71"/>
      <c r="Z694" s="71"/>
      <c r="AA694" s="71"/>
      <c r="AB694" s="71"/>
      <c r="AC694" s="71"/>
      <c r="AD694" s="71"/>
      <c r="AE694" s="71"/>
      <c r="AF694" s="71"/>
      <c r="AG694" s="71"/>
      <c r="AH694" s="71"/>
      <c r="AI694" s="71"/>
      <c r="AJ694" s="71"/>
      <c r="AK694" s="71"/>
      <c r="AL694" s="71"/>
      <c r="AM694" s="71"/>
      <c r="AN694" s="71"/>
      <c r="AO694" s="71"/>
      <c r="AP694" s="71"/>
      <c r="AQ694" s="71"/>
      <c r="AR694" s="71"/>
      <c r="AS694" s="71"/>
      <c r="AT694" s="71"/>
    </row>
    <row r="695" spans="1:46" s="89" customFormat="1" ht="15.65" hidden="1" customHeight="1" x14ac:dyDescent="0.35">
      <c r="A695" s="180" t="s">
        <v>296</v>
      </c>
      <c r="B695" s="180"/>
      <c r="C695" s="181" t="s">
        <v>675</v>
      </c>
      <c r="D695" s="167" t="s">
        <v>427</v>
      </c>
      <c r="E695" s="167" t="s">
        <v>369</v>
      </c>
      <c r="F695" s="174"/>
      <c r="G695" s="171">
        <v>31.53</v>
      </c>
      <c r="H695" s="171">
        <f t="shared" si="6"/>
        <v>34.28</v>
      </c>
      <c r="I695" s="172"/>
      <c r="J695" s="99" t="s">
        <v>449</v>
      </c>
      <c r="K695" s="107">
        <v>44561</v>
      </c>
      <c r="L695" s="99" t="s">
        <v>494</v>
      </c>
      <c r="M695" s="99" t="s">
        <v>20</v>
      </c>
      <c r="N695" s="217" t="s">
        <v>457</v>
      </c>
      <c r="O695" s="71"/>
      <c r="P695" s="71"/>
      <c r="Q695" s="71"/>
      <c r="R695" s="71"/>
      <c r="S695" s="71"/>
      <c r="T695" s="71"/>
      <c r="U695" s="71"/>
      <c r="V695" s="71"/>
      <c r="W695" s="71"/>
      <c r="X695" s="71"/>
      <c r="Y695" s="71"/>
      <c r="Z695" s="71"/>
      <c r="AA695" s="71"/>
      <c r="AB695" s="71"/>
      <c r="AC695" s="71"/>
      <c r="AD695" s="71"/>
      <c r="AE695" s="71"/>
      <c r="AF695" s="71"/>
      <c r="AG695" s="71"/>
      <c r="AH695" s="71"/>
      <c r="AI695" s="71"/>
      <c r="AJ695" s="71"/>
      <c r="AK695" s="71"/>
      <c r="AL695" s="71"/>
      <c r="AM695" s="71"/>
      <c r="AN695" s="71"/>
      <c r="AO695" s="71"/>
      <c r="AP695" s="71"/>
      <c r="AQ695" s="71"/>
      <c r="AR695" s="71"/>
      <c r="AS695" s="71"/>
      <c r="AT695" s="71"/>
    </row>
    <row r="696" spans="1:46" s="89" customFormat="1" ht="15.65" hidden="1" customHeight="1" x14ac:dyDescent="0.35">
      <c r="A696" s="175" t="s">
        <v>676</v>
      </c>
      <c r="B696" s="175"/>
      <c r="C696" s="167" t="s">
        <v>677</v>
      </c>
      <c r="D696" s="167" t="s">
        <v>427</v>
      </c>
      <c r="E696" s="167" t="s">
        <v>369</v>
      </c>
      <c r="F696" s="174"/>
      <c r="G696" s="176">
        <v>44.2</v>
      </c>
      <c r="H696" s="176">
        <f t="shared" si="6"/>
        <v>46.95</v>
      </c>
      <c r="I696" s="177"/>
      <c r="J696" s="150" t="s">
        <v>432</v>
      </c>
      <c r="K696" s="178">
        <v>43921</v>
      </c>
      <c r="L696" s="150" t="s">
        <v>427</v>
      </c>
      <c r="M696" s="99"/>
      <c r="N696" s="99" t="s">
        <v>427</v>
      </c>
      <c r="O696" s="71"/>
      <c r="P696" s="71"/>
      <c r="Q696" s="71"/>
      <c r="R696" s="71"/>
      <c r="S696" s="71"/>
      <c r="T696" s="71"/>
      <c r="U696" s="71"/>
      <c r="V696" s="71"/>
      <c r="W696" s="71"/>
      <c r="X696" s="71"/>
      <c r="Y696" s="71"/>
      <c r="Z696" s="71"/>
      <c r="AA696" s="71"/>
      <c r="AB696" s="71"/>
      <c r="AC696" s="71"/>
      <c r="AD696" s="71"/>
      <c r="AE696" s="71"/>
      <c r="AF696" s="71"/>
      <c r="AG696" s="71"/>
      <c r="AH696" s="71"/>
      <c r="AI696" s="71"/>
      <c r="AJ696" s="71"/>
      <c r="AK696" s="71"/>
      <c r="AL696" s="71"/>
      <c r="AM696" s="71"/>
      <c r="AN696" s="71"/>
      <c r="AO696" s="71"/>
      <c r="AP696" s="71"/>
      <c r="AQ696" s="71"/>
      <c r="AR696" s="71"/>
      <c r="AS696" s="71"/>
      <c r="AT696" s="71"/>
    </row>
    <row r="697" spans="1:46" s="89" customFormat="1" ht="15.65" hidden="1" customHeight="1" x14ac:dyDescent="0.35">
      <c r="A697" s="180" t="s">
        <v>676</v>
      </c>
      <c r="B697" s="180"/>
      <c r="C697" s="181" t="s">
        <v>677</v>
      </c>
      <c r="D697" s="167" t="s">
        <v>427</v>
      </c>
      <c r="E697" s="167" t="s">
        <v>369</v>
      </c>
      <c r="F697" s="174"/>
      <c r="G697" s="171">
        <v>51</v>
      </c>
      <c r="H697" s="171">
        <f t="shared" si="6"/>
        <v>53.75</v>
      </c>
      <c r="I697" s="172"/>
      <c r="J697" s="99" t="s">
        <v>428</v>
      </c>
      <c r="K697" s="107">
        <v>44196</v>
      </c>
      <c r="L697" s="99" t="s">
        <v>494</v>
      </c>
      <c r="M697" s="99" t="s">
        <v>104</v>
      </c>
      <c r="N697" s="99" t="s">
        <v>519</v>
      </c>
      <c r="O697" s="71"/>
      <c r="P697" s="71"/>
      <c r="Q697" s="71"/>
      <c r="R697" s="71"/>
      <c r="S697" s="71"/>
      <c r="T697" s="71"/>
      <c r="U697" s="71"/>
      <c r="V697" s="71"/>
      <c r="W697" s="71"/>
      <c r="X697" s="71"/>
      <c r="Y697" s="71"/>
      <c r="Z697" s="71"/>
      <c r="AA697" s="71"/>
      <c r="AB697" s="71"/>
      <c r="AC697" s="71"/>
      <c r="AD697" s="71"/>
      <c r="AE697" s="71"/>
      <c r="AF697" s="71"/>
      <c r="AG697" s="71"/>
      <c r="AH697" s="71"/>
      <c r="AI697" s="71"/>
      <c r="AJ697" s="71"/>
      <c r="AK697" s="71"/>
      <c r="AL697" s="71"/>
      <c r="AM697" s="71"/>
      <c r="AN697" s="71"/>
      <c r="AO697" s="71"/>
      <c r="AP697" s="71"/>
      <c r="AQ697" s="71"/>
      <c r="AR697" s="71"/>
      <c r="AS697" s="71"/>
      <c r="AT697" s="71"/>
    </row>
    <row r="698" spans="1:46" s="89" customFormat="1" ht="15.65" hidden="1" customHeight="1" x14ac:dyDescent="0.35">
      <c r="A698" s="212" t="s">
        <v>676</v>
      </c>
      <c r="B698" s="212"/>
      <c r="C698" s="167" t="s">
        <v>678</v>
      </c>
      <c r="D698" s="167" t="s">
        <v>427</v>
      </c>
      <c r="E698" s="167" t="s">
        <v>369</v>
      </c>
      <c r="F698" s="174"/>
      <c r="G698" s="214">
        <v>44.2</v>
      </c>
      <c r="H698" s="213">
        <f t="shared" si="6"/>
        <v>46.95</v>
      </c>
      <c r="I698" s="150"/>
      <c r="J698" s="150" t="s">
        <v>432</v>
      </c>
      <c r="K698" s="178">
        <v>44255</v>
      </c>
      <c r="L698" s="170" t="s">
        <v>679</v>
      </c>
      <c r="M698" s="150" t="s">
        <v>104</v>
      </c>
      <c r="N698" s="150" t="s">
        <v>443</v>
      </c>
      <c r="O698" s="71"/>
      <c r="P698" s="71"/>
      <c r="Q698" s="71"/>
      <c r="R698" s="71"/>
      <c r="S698" s="71"/>
      <c r="T698" s="71"/>
      <c r="U698" s="71"/>
      <c r="V698" s="71"/>
      <c r="W698" s="71"/>
      <c r="X698" s="71"/>
      <c r="Y698" s="71"/>
      <c r="Z698" s="71"/>
      <c r="AA698" s="71"/>
      <c r="AB698" s="71"/>
      <c r="AC698" s="71"/>
      <c r="AD698" s="71"/>
      <c r="AE698" s="71"/>
      <c r="AF698" s="71"/>
      <c r="AG698" s="71"/>
      <c r="AH698" s="71"/>
      <c r="AI698" s="71"/>
      <c r="AJ698" s="71"/>
      <c r="AK698" s="71"/>
      <c r="AL698" s="71"/>
      <c r="AM698" s="71"/>
      <c r="AN698" s="71"/>
      <c r="AO698" s="71"/>
      <c r="AP698" s="71"/>
      <c r="AQ698" s="71"/>
      <c r="AR698" s="71"/>
      <c r="AS698" s="71"/>
      <c r="AT698" s="71"/>
    </row>
    <row r="699" spans="1:46" ht="15.65" hidden="1" customHeight="1" x14ac:dyDescent="0.35">
      <c r="A699" s="188" t="s">
        <v>676</v>
      </c>
      <c r="B699" s="188"/>
      <c r="C699" s="181" t="s">
        <v>678</v>
      </c>
      <c r="D699" s="167" t="s">
        <v>427</v>
      </c>
      <c r="E699" s="167" t="s">
        <v>369</v>
      </c>
      <c r="F699" s="174"/>
      <c r="G699" s="117">
        <v>44.2</v>
      </c>
      <c r="H699" s="106">
        <f t="shared" si="6"/>
        <v>46.95</v>
      </c>
      <c r="I699" s="99"/>
      <c r="J699" s="99" t="s">
        <v>432</v>
      </c>
      <c r="K699" s="107">
        <v>44561</v>
      </c>
      <c r="L699" s="169" t="s">
        <v>464</v>
      </c>
      <c r="M699" s="99" t="s">
        <v>104</v>
      </c>
      <c r="N699" s="99" t="s">
        <v>443</v>
      </c>
    </row>
    <row r="700" spans="1:46" s="89" customFormat="1" ht="15.65" hidden="1" customHeight="1" x14ac:dyDescent="0.35">
      <c r="A700" s="188" t="s">
        <v>676</v>
      </c>
      <c r="B700" s="188"/>
      <c r="C700" s="181" t="s">
        <v>678</v>
      </c>
      <c r="D700" s="167" t="s">
        <v>444</v>
      </c>
      <c r="E700" s="170" t="s">
        <v>369</v>
      </c>
      <c r="F700" s="174"/>
      <c r="G700" s="117">
        <v>44.2</v>
      </c>
      <c r="H700" s="106">
        <f t="shared" si="6"/>
        <v>46.95</v>
      </c>
      <c r="I700" s="99"/>
      <c r="J700" s="99" t="s">
        <v>432</v>
      </c>
      <c r="K700" s="107">
        <v>44926</v>
      </c>
      <c r="L700" s="169"/>
      <c r="M700" s="99"/>
      <c r="N700" s="99" t="s">
        <v>458</v>
      </c>
      <c r="O700" s="71"/>
      <c r="P700" s="71"/>
      <c r="Q700" s="71"/>
      <c r="R700" s="71"/>
      <c r="S700" s="71"/>
      <c r="T700" s="71"/>
      <c r="U700" s="71"/>
      <c r="V700" s="71"/>
      <c r="W700" s="71"/>
      <c r="X700" s="71"/>
      <c r="Y700" s="71"/>
      <c r="Z700" s="71"/>
      <c r="AA700" s="71"/>
      <c r="AB700" s="71"/>
      <c r="AC700" s="71"/>
      <c r="AD700" s="71"/>
      <c r="AE700" s="71"/>
      <c r="AF700" s="71"/>
      <c r="AG700" s="71"/>
      <c r="AH700" s="71"/>
      <c r="AI700" s="71"/>
      <c r="AJ700" s="71"/>
      <c r="AK700" s="71"/>
      <c r="AL700" s="71"/>
      <c r="AM700" s="71"/>
      <c r="AN700" s="71"/>
      <c r="AO700" s="71"/>
      <c r="AP700" s="71"/>
      <c r="AQ700" s="71"/>
      <c r="AR700" s="71"/>
      <c r="AS700" s="71"/>
      <c r="AT700" s="71"/>
    </row>
    <row r="701" spans="1:46" s="89" customFormat="1" ht="15.65" hidden="1" customHeight="1" x14ac:dyDescent="0.35">
      <c r="A701" s="180" t="s">
        <v>680</v>
      </c>
      <c r="B701" s="180"/>
      <c r="C701" s="181" t="s">
        <v>681</v>
      </c>
      <c r="D701" s="167" t="s">
        <v>427</v>
      </c>
      <c r="E701" s="170" t="s">
        <v>369</v>
      </c>
      <c r="F701" s="174"/>
      <c r="G701" s="171">
        <v>47</v>
      </c>
      <c r="H701" s="171">
        <f t="shared" si="6"/>
        <v>49.75</v>
      </c>
      <c r="I701" s="172"/>
      <c r="J701" s="99" t="s">
        <v>428</v>
      </c>
      <c r="K701" s="107">
        <v>44196</v>
      </c>
      <c r="L701" s="99" t="s">
        <v>494</v>
      </c>
      <c r="M701" s="99"/>
      <c r="N701" s="99" t="s">
        <v>429</v>
      </c>
      <c r="O701" s="71"/>
      <c r="P701" s="71"/>
      <c r="Q701" s="71"/>
      <c r="R701" s="71"/>
      <c r="S701" s="71"/>
      <c r="T701" s="71"/>
      <c r="U701" s="71"/>
      <c r="V701" s="71"/>
      <c r="W701" s="71"/>
      <c r="X701" s="71"/>
      <c r="Y701" s="71"/>
      <c r="Z701" s="71"/>
      <c r="AA701" s="71"/>
      <c r="AB701" s="71"/>
      <c r="AC701" s="71"/>
      <c r="AD701" s="71"/>
      <c r="AE701" s="71"/>
      <c r="AF701" s="71"/>
      <c r="AG701" s="71"/>
      <c r="AH701" s="71"/>
      <c r="AI701" s="71"/>
      <c r="AJ701" s="71"/>
      <c r="AK701" s="71"/>
      <c r="AL701" s="71"/>
      <c r="AM701" s="71"/>
      <c r="AN701" s="71"/>
      <c r="AO701" s="71"/>
      <c r="AP701" s="71"/>
      <c r="AQ701" s="71"/>
      <c r="AR701" s="71"/>
      <c r="AS701" s="71"/>
      <c r="AT701" s="71"/>
    </row>
    <row r="702" spans="1:46" ht="15.65" hidden="1" customHeight="1" x14ac:dyDescent="0.35">
      <c r="A702" s="180" t="s">
        <v>682</v>
      </c>
      <c r="B702" s="180"/>
      <c r="C702" s="181" t="s">
        <v>683</v>
      </c>
      <c r="D702" s="167" t="s">
        <v>427</v>
      </c>
      <c r="E702" s="167" t="s">
        <v>369</v>
      </c>
      <c r="F702" s="174"/>
      <c r="G702" s="171">
        <v>77</v>
      </c>
      <c r="H702" s="171">
        <f t="shared" si="6"/>
        <v>79.75</v>
      </c>
      <c r="I702" s="172"/>
      <c r="J702" s="99" t="s">
        <v>428</v>
      </c>
      <c r="K702" s="107">
        <v>44561</v>
      </c>
      <c r="L702" s="169" t="s">
        <v>684</v>
      </c>
      <c r="M702" s="99" t="s">
        <v>624</v>
      </c>
      <c r="N702" s="99" t="s">
        <v>439</v>
      </c>
    </row>
    <row r="703" spans="1:46" ht="15.65" hidden="1" customHeight="1" x14ac:dyDescent="0.35">
      <c r="A703" s="180" t="s">
        <v>682</v>
      </c>
      <c r="B703" s="180"/>
      <c r="C703" s="181" t="s">
        <v>683</v>
      </c>
      <c r="D703" s="167" t="s">
        <v>427</v>
      </c>
      <c r="E703" s="167" t="s">
        <v>369</v>
      </c>
      <c r="F703" s="174"/>
      <c r="G703" s="171">
        <v>61.6</v>
      </c>
      <c r="H703" s="171">
        <f t="shared" si="6"/>
        <v>64.349999999999994</v>
      </c>
      <c r="I703" s="172"/>
      <c r="J703" s="169" t="s">
        <v>685</v>
      </c>
      <c r="K703" s="107">
        <v>44561</v>
      </c>
      <c r="L703" s="169" t="s">
        <v>686</v>
      </c>
      <c r="M703" s="99" t="s">
        <v>624</v>
      </c>
      <c r="N703" s="99" t="s">
        <v>439</v>
      </c>
    </row>
    <row r="704" spans="1:46" s="89" customFormat="1" ht="15.65" hidden="1" customHeight="1" x14ac:dyDescent="0.35">
      <c r="A704" s="188" t="s">
        <v>682</v>
      </c>
      <c r="B704" s="188"/>
      <c r="C704" s="99" t="s">
        <v>687</v>
      </c>
      <c r="D704" s="150" t="s">
        <v>427</v>
      </c>
      <c r="E704" s="150" t="s">
        <v>369</v>
      </c>
      <c r="F704" s="174"/>
      <c r="G704" s="117">
        <v>46.5</v>
      </c>
      <c r="H704" s="106">
        <v>49.25</v>
      </c>
      <c r="I704" s="99"/>
      <c r="J704" s="99" t="s">
        <v>477</v>
      </c>
      <c r="K704" s="107">
        <v>44377</v>
      </c>
      <c r="L704" s="169" t="s">
        <v>486</v>
      </c>
      <c r="M704" s="99" t="s">
        <v>624</v>
      </c>
      <c r="N704" s="108" t="s">
        <v>443</v>
      </c>
      <c r="O704" s="71"/>
      <c r="P704" s="71"/>
      <c r="Q704" s="71"/>
      <c r="R704" s="71"/>
      <c r="S704" s="71"/>
      <c r="T704" s="71"/>
      <c r="U704" s="71"/>
      <c r="V704" s="71"/>
      <c r="W704" s="71"/>
      <c r="X704" s="71"/>
      <c r="Y704" s="71"/>
      <c r="Z704" s="71"/>
      <c r="AA704" s="71"/>
      <c r="AB704" s="71"/>
      <c r="AC704" s="71"/>
      <c r="AD704" s="71"/>
      <c r="AE704" s="71"/>
      <c r="AF704" s="71"/>
      <c r="AG704" s="71"/>
      <c r="AH704" s="71"/>
      <c r="AI704" s="71"/>
      <c r="AJ704" s="71"/>
      <c r="AK704" s="71"/>
      <c r="AL704" s="71"/>
      <c r="AM704" s="71"/>
      <c r="AN704" s="71"/>
      <c r="AO704" s="71"/>
      <c r="AP704" s="71"/>
      <c r="AQ704" s="71"/>
      <c r="AR704" s="71"/>
      <c r="AS704" s="71"/>
      <c r="AT704" s="71"/>
    </row>
    <row r="705" spans="1:46" s="89" customFormat="1" ht="15.65" hidden="1" customHeight="1" x14ac:dyDescent="0.35">
      <c r="A705" s="180" t="s">
        <v>379</v>
      </c>
      <c r="B705" s="180"/>
      <c r="C705" s="181" t="s">
        <v>380</v>
      </c>
      <c r="D705" s="167" t="s">
        <v>427</v>
      </c>
      <c r="E705" s="170" t="s">
        <v>369</v>
      </c>
      <c r="F705" s="174"/>
      <c r="G705" s="171">
        <v>50.35</v>
      </c>
      <c r="H705" s="171">
        <f>G705+2.75</f>
        <v>53.1</v>
      </c>
      <c r="I705" s="172"/>
      <c r="J705" s="99" t="s">
        <v>428</v>
      </c>
      <c r="K705" s="107">
        <v>44561</v>
      </c>
      <c r="L705" s="99"/>
      <c r="M705" s="99"/>
      <c r="N705" s="99" t="s">
        <v>457</v>
      </c>
      <c r="O705" s="71"/>
      <c r="P705" s="71"/>
      <c r="Q705" s="71"/>
      <c r="R705" s="71"/>
      <c r="S705" s="71"/>
      <c r="T705" s="71"/>
      <c r="U705" s="71"/>
      <c r="V705" s="71"/>
      <c r="W705" s="71"/>
      <c r="X705" s="71"/>
      <c r="Y705" s="71"/>
      <c r="Z705" s="71"/>
      <c r="AA705" s="71"/>
      <c r="AB705" s="71"/>
      <c r="AC705" s="71"/>
      <c r="AD705" s="71"/>
      <c r="AE705" s="71"/>
      <c r="AF705" s="71"/>
      <c r="AG705" s="71"/>
      <c r="AH705" s="71"/>
      <c r="AI705" s="71"/>
      <c r="AJ705" s="71"/>
      <c r="AK705" s="71"/>
      <c r="AL705" s="71"/>
      <c r="AM705" s="71"/>
      <c r="AN705" s="71"/>
      <c r="AO705" s="71"/>
      <c r="AP705" s="71"/>
      <c r="AQ705" s="71"/>
      <c r="AR705" s="71"/>
      <c r="AS705" s="71"/>
      <c r="AT705" s="71"/>
    </row>
    <row r="706" spans="1:46" s="89" customFormat="1" ht="15.65" hidden="1" customHeight="1" x14ac:dyDescent="0.35">
      <c r="A706" s="188" t="s">
        <v>688</v>
      </c>
      <c r="B706" s="188"/>
      <c r="C706" s="99" t="s">
        <v>689</v>
      </c>
      <c r="D706" s="150" t="s">
        <v>427</v>
      </c>
      <c r="E706" s="170" t="s">
        <v>369</v>
      </c>
      <c r="F706" s="174"/>
      <c r="G706" s="117">
        <v>96.4</v>
      </c>
      <c r="H706" s="106">
        <v>99.15</v>
      </c>
      <c r="I706" s="99"/>
      <c r="J706" s="99" t="s">
        <v>428</v>
      </c>
      <c r="K706" s="107">
        <v>44377</v>
      </c>
      <c r="L706" s="169" t="s">
        <v>690</v>
      </c>
      <c r="M706" s="99"/>
      <c r="N706" s="108" t="s">
        <v>443</v>
      </c>
      <c r="O706" s="71"/>
      <c r="P706" s="71"/>
      <c r="Q706" s="71"/>
      <c r="R706" s="71"/>
      <c r="S706" s="71"/>
      <c r="T706" s="71"/>
      <c r="U706" s="71"/>
      <c r="V706" s="71"/>
      <c r="W706" s="71"/>
      <c r="X706" s="71"/>
      <c r="Y706" s="71"/>
      <c r="Z706" s="71"/>
      <c r="AA706" s="71"/>
      <c r="AB706" s="71"/>
      <c r="AC706" s="71"/>
      <c r="AD706" s="71"/>
      <c r="AE706" s="71"/>
      <c r="AF706" s="71"/>
      <c r="AG706" s="71"/>
      <c r="AH706" s="71"/>
      <c r="AI706" s="71"/>
      <c r="AJ706" s="71"/>
      <c r="AK706" s="71"/>
      <c r="AL706" s="71"/>
      <c r="AM706" s="71"/>
      <c r="AN706" s="71"/>
      <c r="AO706" s="71"/>
      <c r="AP706" s="71"/>
      <c r="AQ706" s="71"/>
      <c r="AR706" s="71"/>
      <c r="AS706" s="71"/>
      <c r="AT706" s="71"/>
    </row>
    <row r="707" spans="1:46" s="89" customFormat="1" ht="15.65" hidden="1" customHeight="1" x14ac:dyDescent="0.35">
      <c r="A707" s="188" t="s">
        <v>688</v>
      </c>
      <c r="B707" s="188"/>
      <c r="C707" s="99" t="s">
        <v>689</v>
      </c>
      <c r="D707" s="150" t="s">
        <v>444</v>
      </c>
      <c r="E707" s="170" t="s">
        <v>369</v>
      </c>
      <c r="F707" s="174"/>
      <c r="G707" s="117">
        <v>96.4</v>
      </c>
      <c r="H707" s="106">
        <v>99.15</v>
      </c>
      <c r="I707" s="99"/>
      <c r="J707" s="99" t="s">
        <v>428</v>
      </c>
      <c r="K707" s="107">
        <v>44926</v>
      </c>
      <c r="L707" s="169" t="s">
        <v>691</v>
      </c>
      <c r="M707" s="99"/>
      <c r="N707" s="108" t="s">
        <v>443</v>
      </c>
      <c r="O707" s="71"/>
      <c r="P707" s="71"/>
      <c r="Q707" s="71"/>
      <c r="R707" s="71"/>
      <c r="S707" s="71"/>
      <c r="T707" s="71"/>
      <c r="U707" s="71"/>
      <c r="V707" s="71"/>
      <c r="W707" s="71"/>
      <c r="X707" s="71"/>
      <c r="Y707" s="71"/>
      <c r="Z707" s="71"/>
      <c r="AA707" s="71"/>
      <c r="AB707" s="71"/>
      <c r="AC707" s="71"/>
      <c r="AD707" s="71"/>
      <c r="AE707" s="71"/>
      <c r="AF707" s="71"/>
      <c r="AG707" s="71"/>
      <c r="AH707" s="71"/>
      <c r="AI707" s="71"/>
      <c r="AJ707" s="71"/>
      <c r="AK707" s="71"/>
      <c r="AL707" s="71"/>
      <c r="AM707" s="71"/>
      <c r="AN707" s="71"/>
      <c r="AO707" s="71"/>
      <c r="AP707" s="71"/>
      <c r="AQ707" s="71"/>
      <c r="AR707" s="71"/>
      <c r="AS707" s="71"/>
      <c r="AT707" s="71"/>
    </row>
    <row r="708" spans="1:46" s="89" customFormat="1" ht="15.65" hidden="1" customHeight="1" x14ac:dyDescent="0.35">
      <c r="A708" s="212" t="s">
        <v>692</v>
      </c>
      <c r="B708" s="212"/>
      <c r="C708" s="150" t="s">
        <v>689</v>
      </c>
      <c r="D708" s="150" t="s">
        <v>427</v>
      </c>
      <c r="E708" s="170" t="s">
        <v>369</v>
      </c>
      <c r="F708" s="174"/>
      <c r="G708" s="214">
        <v>120.5</v>
      </c>
      <c r="H708" s="213">
        <v>123.25</v>
      </c>
      <c r="I708" s="150"/>
      <c r="J708" s="150" t="s">
        <v>428</v>
      </c>
      <c r="K708" s="178">
        <v>44377</v>
      </c>
      <c r="L708" s="170" t="s">
        <v>693</v>
      </c>
      <c r="M708" s="150"/>
      <c r="N708" s="218" t="s">
        <v>439</v>
      </c>
      <c r="O708" s="71"/>
      <c r="P708" s="71"/>
      <c r="Q708" s="71"/>
      <c r="R708" s="71"/>
      <c r="S708" s="71"/>
      <c r="T708" s="71"/>
      <c r="U708" s="71"/>
      <c r="V708" s="71"/>
      <c r="W708" s="71"/>
      <c r="X708" s="71"/>
      <c r="Y708" s="71"/>
      <c r="Z708" s="71"/>
      <c r="AA708" s="71"/>
      <c r="AB708" s="71"/>
      <c r="AC708" s="71"/>
      <c r="AD708" s="71"/>
      <c r="AE708" s="71"/>
      <c r="AF708" s="71"/>
      <c r="AG708" s="71"/>
      <c r="AH708" s="71"/>
      <c r="AI708" s="71"/>
      <c r="AJ708" s="71"/>
      <c r="AK708" s="71"/>
      <c r="AL708" s="71"/>
      <c r="AM708" s="71"/>
      <c r="AN708" s="71"/>
      <c r="AO708" s="71"/>
      <c r="AP708" s="71"/>
      <c r="AQ708" s="71"/>
      <c r="AR708" s="71"/>
      <c r="AS708" s="71"/>
      <c r="AT708" s="71"/>
    </row>
    <row r="709" spans="1:46" s="89" customFormat="1" ht="15.65" hidden="1" customHeight="1" x14ac:dyDescent="0.35">
      <c r="A709" s="188" t="s">
        <v>694</v>
      </c>
      <c r="B709" s="188"/>
      <c r="C709" s="169" t="s">
        <v>695</v>
      </c>
      <c r="D709" s="150" t="s">
        <v>465</v>
      </c>
      <c r="E709" s="170" t="s">
        <v>369</v>
      </c>
      <c r="F709" s="174"/>
      <c r="G709" s="106">
        <v>20.65</v>
      </c>
      <c r="H709" s="117">
        <f t="shared" ref="H709:H714" si="7">G709+2.75</f>
        <v>23.4</v>
      </c>
      <c r="I709" s="99"/>
      <c r="J709" s="99" t="s">
        <v>428</v>
      </c>
      <c r="K709" s="107">
        <v>44926</v>
      </c>
      <c r="L709" s="169" t="s">
        <v>696</v>
      </c>
      <c r="M709" s="99"/>
      <c r="N709" s="108" t="s">
        <v>443</v>
      </c>
      <c r="O709" s="71"/>
      <c r="P709" s="71"/>
      <c r="Q709" s="71"/>
      <c r="R709" s="71"/>
      <c r="S709" s="71"/>
      <c r="T709" s="71"/>
      <c r="U709" s="71"/>
      <c r="V709" s="71"/>
      <c r="W709" s="71"/>
      <c r="X709" s="71"/>
      <c r="Y709" s="71"/>
      <c r="Z709" s="71"/>
      <c r="AA709" s="71"/>
      <c r="AB709" s="71"/>
      <c r="AC709" s="71"/>
      <c r="AD709" s="71"/>
      <c r="AE709" s="71"/>
      <c r="AF709" s="71"/>
      <c r="AG709" s="71"/>
      <c r="AH709" s="71"/>
      <c r="AI709" s="71"/>
      <c r="AJ709" s="71"/>
      <c r="AK709" s="71"/>
      <c r="AL709" s="71"/>
      <c r="AM709" s="71"/>
      <c r="AN709" s="71"/>
      <c r="AO709" s="71"/>
      <c r="AP709" s="71"/>
      <c r="AQ709" s="71"/>
      <c r="AR709" s="71"/>
      <c r="AS709" s="71"/>
      <c r="AT709" s="71"/>
    </row>
    <row r="710" spans="1:46" s="89" customFormat="1" ht="15.65" hidden="1" customHeight="1" x14ac:dyDescent="0.35">
      <c r="A710" s="188" t="s">
        <v>697</v>
      </c>
      <c r="B710" s="188"/>
      <c r="C710" s="191" t="s">
        <v>698</v>
      </c>
      <c r="D710" s="192" t="s">
        <v>427</v>
      </c>
      <c r="E710" s="192" t="s">
        <v>369</v>
      </c>
      <c r="F710" s="99"/>
      <c r="G710" s="117">
        <v>115</v>
      </c>
      <c r="H710" s="117">
        <f t="shared" si="7"/>
        <v>117.75</v>
      </c>
      <c r="I710" s="190"/>
      <c r="J710" s="99" t="s">
        <v>428</v>
      </c>
      <c r="K710" s="107">
        <v>44195</v>
      </c>
      <c r="L710" s="99"/>
      <c r="M710" s="99"/>
      <c r="N710" s="99" t="s">
        <v>429</v>
      </c>
      <c r="O710" s="71"/>
      <c r="P710" s="71"/>
      <c r="Q710" s="71"/>
      <c r="R710" s="71"/>
      <c r="S710" s="71"/>
      <c r="T710" s="71"/>
      <c r="U710" s="71"/>
      <c r="V710" s="71"/>
      <c r="W710" s="71"/>
      <c r="X710" s="71"/>
      <c r="Y710" s="71"/>
      <c r="Z710" s="71"/>
      <c r="AA710" s="71"/>
      <c r="AB710" s="71"/>
      <c r="AC710" s="71"/>
      <c r="AD710" s="71"/>
      <c r="AE710" s="71"/>
      <c r="AF710" s="71"/>
      <c r="AG710" s="71"/>
      <c r="AH710" s="71"/>
      <c r="AI710" s="71"/>
      <c r="AJ710" s="71"/>
      <c r="AK710" s="71"/>
      <c r="AL710" s="71"/>
      <c r="AM710" s="71"/>
      <c r="AN710" s="71"/>
      <c r="AO710" s="71"/>
      <c r="AP710" s="71"/>
      <c r="AQ710" s="71"/>
      <c r="AR710" s="71"/>
      <c r="AS710" s="71"/>
      <c r="AT710" s="71"/>
    </row>
    <row r="711" spans="1:46" ht="15.65" hidden="1" customHeight="1" x14ac:dyDescent="0.35">
      <c r="A711" s="188" t="s">
        <v>697</v>
      </c>
      <c r="B711" s="188"/>
      <c r="C711" s="191" t="s">
        <v>698</v>
      </c>
      <c r="D711" s="192" t="s">
        <v>427</v>
      </c>
      <c r="E711" s="192" t="s">
        <v>369</v>
      </c>
      <c r="F711" s="99"/>
      <c r="G711" s="117">
        <v>115</v>
      </c>
      <c r="H711" s="117">
        <f t="shared" si="7"/>
        <v>117.75</v>
      </c>
      <c r="I711" s="190"/>
      <c r="J711" s="99" t="s">
        <v>428</v>
      </c>
      <c r="K711" s="107">
        <v>44561</v>
      </c>
      <c r="L711" s="169" t="s">
        <v>699</v>
      </c>
      <c r="M711" s="99"/>
      <c r="N711" s="99" t="s">
        <v>443</v>
      </c>
    </row>
    <row r="712" spans="1:46" ht="15.65" hidden="1" customHeight="1" x14ac:dyDescent="0.35">
      <c r="A712" s="188" t="s">
        <v>697</v>
      </c>
      <c r="B712" s="188"/>
      <c r="C712" s="191" t="s">
        <v>698</v>
      </c>
      <c r="D712" s="192" t="s">
        <v>444</v>
      </c>
      <c r="E712" s="192" t="s">
        <v>369</v>
      </c>
      <c r="F712" s="99"/>
      <c r="G712" s="117">
        <v>115</v>
      </c>
      <c r="H712" s="117">
        <f t="shared" si="7"/>
        <v>117.75</v>
      </c>
      <c r="I712" s="190"/>
      <c r="J712" s="99" t="s">
        <v>428</v>
      </c>
      <c r="K712" s="107">
        <v>44926</v>
      </c>
      <c r="L712" s="169"/>
      <c r="M712" s="99"/>
      <c r="N712" s="99" t="s">
        <v>418</v>
      </c>
    </row>
    <row r="713" spans="1:46" ht="15.65" hidden="1" customHeight="1" x14ac:dyDescent="0.35">
      <c r="A713" s="180" t="s">
        <v>700</v>
      </c>
      <c r="B713" s="180"/>
      <c r="C713" s="181" t="s">
        <v>701</v>
      </c>
      <c r="D713" s="167" t="s">
        <v>427</v>
      </c>
      <c r="E713" s="167" t="s">
        <v>369</v>
      </c>
      <c r="F713" s="99"/>
      <c r="G713" s="171">
        <v>123.05</v>
      </c>
      <c r="H713" s="171">
        <f t="shared" si="7"/>
        <v>125.8</v>
      </c>
      <c r="I713" s="172"/>
      <c r="J713" s="99" t="s">
        <v>428</v>
      </c>
      <c r="K713" s="107">
        <v>44561</v>
      </c>
      <c r="L713" s="99"/>
      <c r="M713" s="99"/>
      <c r="N713" s="99" t="s">
        <v>433</v>
      </c>
    </row>
    <row r="714" spans="1:46" ht="15.65" hidden="1" customHeight="1" x14ac:dyDescent="0.35">
      <c r="A714" s="180" t="s">
        <v>702</v>
      </c>
      <c r="B714" s="180"/>
      <c r="C714" s="181" t="s">
        <v>703</v>
      </c>
      <c r="D714" s="167" t="s">
        <v>427</v>
      </c>
      <c r="E714" s="167" t="s">
        <v>369</v>
      </c>
      <c r="F714" s="99"/>
      <c r="G714" s="171">
        <v>202.35</v>
      </c>
      <c r="H714" s="171">
        <f t="shared" si="7"/>
        <v>205.1</v>
      </c>
      <c r="I714" s="172"/>
      <c r="J714" s="99" t="s">
        <v>428</v>
      </c>
      <c r="K714" s="107">
        <v>44561</v>
      </c>
      <c r="L714" s="99"/>
      <c r="M714" s="99" t="s">
        <v>624</v>
      </c>
      <c r="N714" s="99" t="s">
        <v>433</v>
      </c>
    </row>
    <row r="715" spans="1:46" ht="15.65" hidden="1" customHeight="1" x14ac:dyDescent="0.35">
      <c r="A715" s="188" t="s">
        <v>702</v>
      </c>
      <c r="B715" s="188"/>
      <c r="C715" s="99" t="s">
        <v>704</v>
      </c>
      <c r="D715" s="150" t="s">
        <v>427</v>
      </c>
      <c r="E715" s="150" t="s">
        <v>369</v>
      </c>
      <c r="F715" s="99"/>
      <c r="G715" s="106">
        <v>165.48</v>
      </c>
      <c r="H715" s="106">
        <v>168.23</v>
      </c>
      <c r="I715" s="99"/>
      <c r="J715" s="99" t="s">
        <v>477</v>
      </c>
      <c r="K715" s="107">
        <v>44377</v>
      </c>
      <c r="L715" s="169" t="s">
        <v>486</v>
      </c>
      <c r="M715" s="99" t="s">
        <v>20</v>
      </c>
      <c r="N715" s="108" t="s">
        <v>439</v>
      </c>
    </row>
    <row r="716" spans="1:46" ht="15.65" hidden="1" customHeight="1" x14ac:dyDescent="0.35">
      <c r="A716" s="180" t="s">
        <v>705</v>
      </c>
      <c r="B716" s="180"/>
      <c r="C716" s="181" t="s">
        <v>706</v>
      </c>
      <c r="D716" s="167" t="s">
        <v>427</v>
      </c>
      <c r="E716" s="167" t="s">
        <v>369</v>
      </c>
      <c r="F716" s="99"/>
      <c r="G716" s="171">
        <v>250.45</v>
      </c>
      <c r="H716" s="171">
        <f>G716+2.75</f>
        <v>253.2</v>
      </c>
      <c r="I716" s="172"/>
      <c r="J716" s="99" t="s">
        <v>428</v>
      </c>
      <c r="K716" s="107">
        <v>44561</v>
      </c>
      <c r="L716" s="99"/>
      <c r="M716" s="99"/>
      <c r="N716" s="99" t="s">
        <v>433</v>
      </c>
    </row>
    <row r="717" spans="1:46" ht="15.65" hidden="1" customHeight="1" x14ac:dyDescent="0.35">
      <c r="A717" s="180" t="s">
        <v>318</v>
      </c>
      <c r="B717" s="180"/>
      <c r="C717" s="181" t="s">
        <v>707</v>
      </c>
      <c r="D717" s="167" t="s">
        <v>427</v>
      </c>
      <c r="E717" s="192" t="s">
        <v>369</v>
      </c>
      <c r="F717" s="99"/>
      <c r="G717" s="171">
        <v>143.65</v>
      </c>
      <c r="H717" s="171">
        <f>G717+2.75</f>
        <v>146.4</v>
      </c>
      <c r="I717" s="172"/>
      <c r="J717" s="99" t="s">
        <v>428</v>
      </c>
      <c r="K717" s="107">
        <v>44561</v>
      </c>
      <c r="L717" s="99"/>
      <c r="M717" s="99"/>
      <c r="N717" s="99" t="s">
        <v>433</v>
      </c>
    </row>
    <row r="718" spans="1:46" ht="15.65" hidden="1" customHeight="1" x14ac:dyDescent="0.35">
      <c r="A718" s="180" t="s">
        <v>322</v>
      </c>
      <c r="B718" s="180"/>
      <c r="C718" s="181" t="s">
        <v>708</v>
      </c>
      <c r="D718" s="167" t="s">
        <v>427</v>
      </c>
      <c r="E718" s="167" t="s">
        <v>369</v>
      </c>
      <c r="F718" s="99"/>
      <c r="G718" s="171">
        <v>21.65</v>
      </c>
      <c r="H718" s="171">
        <f>G718+2.75</f>
        <v>24.4</v>
      </c>
      <c r="I718" s="172"/>
      <c r="J718" s="99" t="s">
        <v>428</v>
      </c>
      <c r="K718" s="107">
        <v>44561</v>
      </c>
      <c r="L718" s="170" t="s">
        <v>709</v>
      </c>
      <c r="M718" s="99"/>
      <c r="N718" s="99" t="s">
        <v>457</v>
      </c>
    </row>
    <row r="719" spans="1:46" s="89" customFormat="1" ht="15.65" hidden="1" customHeight="1" x14ac:dyDescent="0.35">
      <c r="A719" s="175" t="s">
        <v>710</v>
      </c>
      <c r="B719" s="175"/>
      <c r="C719" s="167" t="s">
        <v>711</v>
      </c>
      <c r="D719" s="167" t="s">
        <v>427</v>
      </c>
      <c r="E719" s="167" t="s">
        <v>369</v>
      </c>
      <c r="F719" s="99"/>
      <c r="G719" s="176">
        <v>60.2</v>
      </c>
      <c r="H719" s="176">
        <f>G719+2.75</f>
        <v>62.95</v>
      </c>
      <c r="I719" s="177"/>
      <c r="J719" s="150" t="s">
        <v>432</v>
      </c>
      <c r="K719" s="178">
        <v>44561</v>
      </c>
      <c r="L719" s="150"/>
      <c r="M719" s="150" t="s">
        <v>20</v>
      </c>
      <c r="N719" s="150" t="s">
        <v>457</v>
      </c>
      <c r="O719" s="71"/>
      <c r="P719" s="71"/>
      <c r="Q719" s="71"/>
      <c r="R719" s="71"/>
      <c r="S719" s="71"/>
      <c r="T719" s="71"/>
      <c r="U719" s="71"/>
      <c r="V719" s="71"/>
      <c r="W719" s="71"/>
      <c r="X719" s="71"/>
      <c r="Y719" s="71"/>
      <c r="Z719" s="71"/>
      <c r="AA719" s="71"/>
      <c r="AB719" s="71"/>
      <c r="AC719" s="71"/>
      <c r="AD719" s="71"/>
      <c r="AE719" s="71"/>
      <c r="AF719" s="71"/>
      <c r="AG719" s="71"/>
      <c r="AH719" s="71"/>
      <c r="AI719" s="71"/>
      <c r="AJ719" s="71"/>
      <c r="AK719" s="71"/>
      <c r="AL719" s="71"/>
      <c r="AM719" s="71"/>
      <c r="AN719" s="71"/>
      <c r="AO719" s="71"/>
      <c r="AP719" s="71"/>
      <c r="AQ719" s="71"/>
      <c r="AR719" s="71"/>
      <c r="AS719" s="71"/>
      <c r="AT719" s="71"/>
    </row>
    <row r="720" spans="1:46" ht="15.65" hidden="1" customHeight="1" x14ac:dyDescent="0.35">
      <c r="A720" s="188" t="s">
        <v>712</v>
      </c>
      <c r="B720" s="188"/>
      <c r="C720" s="181" t="s">
        <v>713</v>
      </c>
      <c r="D720" s="167" t="s">
        <v>444</v>
      </c>
      <c r="E720" s="168" t="s">
        <v>369</v>
      </c>
      <c r="F720" s="99"/>
      <c r="G720" s="106">
        <v>34.479999999999997</v>
      </c>
      <c r="H720" s="106">
        <v>37.229999999999997</v>
      </c>
      <c r="I720" s="99"/>
      <c r="J720" s="99" t="s">
        <v>428</v>
      </c>
      <c r="K720" s="107">
        <v>44926</v>
      </c>
      <c r="L720" s="99"/>
      <c r="M720" s="99"/>
      <c r="N720" s="99" t="s">
        <v>418</v>
      </c>
    </row>
    <row r="721" spans="1:46" ht="15.65" hidden="1" customHeight="1" x14ac:dyDescent="0.35">
      <c r="A721" s="188" t="s">
        <v>712</v>
      </c>
      <c r="B721" s="188"/>
      <c r="C721" s="181" t="s">
        <v>713</v>
      </c>
      <c r="D721" s="167" t="s">
        <v>465</v>
      </c>
      <c r="E721" s="168" t="s">
        <v>369</v>
      </c>
      <c r="F721" s="99"/>
      <c r="G721" s="106">
        <v>34.479999999999997</v>
      </c>
      <c r="H721" s="106">
        <f>G721+2.75</f>
        <v>37.229999999999997</v>
      </c>
      <c r="I721" s="99"/>
      <c r="J721" s="99" t="s">
        <v>714</v>
      </c>
      <c r="K721" s="107">
        <v>44926</v>
      </c>
      <c r="L721" s="169" t="s">
        <v>715</v>
      </c>
      <c r="M721" s="99"/>
      <c r="N721" s="108" t="s">
        <v>443</v>
      </c>
    </row>
    <row r="722" spans="1:46" ht="15.65" hidden="1" customHeight="1" x14ac:dyDescent="0.35">
      <c r="A722" s="188" t="s">
        <v>716</v>
      </c>
      <c r="B722" s="188"/>
      <c r="C722" s="181" t="s">
        <v>717</v>
      </c>
      <c r="D722" s="167" t="s">
        <v>474</v>
      </c>
      <c r="E722" s="167" t="s">
        <v>369</v>
      </c>
      <c r="F722" s="99"/>
      <c r="G722" s="106">
        <v>18.739999999999998</v>
      </c>
      <c r="H722" s="106">
        <f>G722+2.75</f>
        <v>21.49</v>
      </c>
      <c r="I722" s="99"/>
      <c r="J722" s="99" t="s">
        <v>432</v>
      </c>
      <c r="K722" s="107">
        <v>44196</v>
      </c>
      <c r="L722" s="169" t="s">
        <v>718</v>
      </c>
      <c r="M722" s="99"/>
      <c r="N722" s="99" t="s">
        <v>429</v>
      </c>
    </row>
    <row r="723" spans="1:46" s="89" customFormat="1" ht="15.65" hidden="1" customHeight="1" x14ac:dyDescent="0.35">
      <c r="A723" s="180" t="s">
        <v>329</v>
      </c>
      <c r="B723" s="180"/>
      <c r="C723" s="181" t="s">
        <v>719</v>
      </c>
      <c r="D723" s="167" t="s">
        <v>427</v>
      </c>
      <c r="E723" s="167" t="s">
        <v>369</v>
      </c>
      <c r="F723" s="99"/>
      <c r="G723" s="171">
        <v>38.75</v>
      </c>
      <c r="H723" s="171">
        <f>G723+2.75</f>
        <v>41.5</v>
      </c>
      <c r="I723" s="172"/>
      <c r="J723" s="99" t="s">
        <v>428</v>
      </c>
      <c r="K723" s="107">
        <v>44561</v>
      </c>
      <c r="L723" s="99"/>
      <c r="M723" s="99"/>
      <c r="N723" s="99" t="s">
        <v>457</v>
      </c>
      <c r="O723" s="71"/>
      <c r="P723" s="71"/>
      <c r="Q723" s="71"/>
      <c r="R723" s="71"/>
      <c r="S723" s="71"/>
      <c r="T723" s="71"/>
      <c r="U723" s="71"/>
      <c r="V723" s="71"/>
      <c r="W723" s="71"/>
      <c r="X723" s="71"/>
      <c r="Y723" s="71"/>
      <c r="Z723" s="71"/>
      <c r="AA723" s="71"/>
      <c r="AB723" s="71"/>
      <c r="AC723" s="71"/>
      <c r="AD723" s="71"/>
      <c r="AE723" s="71"/>
      <c r="AF723" s="71"/>
      <c r="AG723" s="71"/>
      <c r="AH723" s="71"/>
      <c r="AI723" s="71"/>
      <c r="AJ723" s="71"/>
      <c r="AK723" s="71"/>
      <c r="AL723" s="71"/>
      <c r="AM723" s="71"/>
      <c r="AN723" s="71"/>
      <c r="AO723" s="71"/>
      <c r="AP723" s="71"/>
      <c r="AQ723" s="71"/>
      <c r="AR723" s="71"/>
      <c r="AS723" s="71"/>
      <c r="AT723" s="71"/>
    </row>
    <row r="724" spans="1:46" s="89" customFormat="1" ht="15.65" hidden="1" customHeight="1" x14ac:dyDescent="0.35">
      <c r="A724" s="180" t="s">
        <v>387</v>
      </c>
      <c r="B724" s="180"/>
      <c r="C724" s="181" t="s">
        <v>720</v>
      </c>
      <c r="D724" s="167" t="s">
        <v>427</v>
      </c>
      <c r="E724" s="167" t="s">
        <v>369</v>
      </c>
      <c r="F724" s="99"/>
      <c r="G724" s="171">
        <v>48.85</v>
      </c>
      <c r="H724" s="171">
        <f>G724+2.75</f>
        <v>51.6</v>
      </c>
      <c r="I724" s="172"/>
      <c r="J724" s="99" t="s">
        <v>428</v>
      </c>
      <c r="K724" s="107">
        <v>44561</v>
      </c>
      <c r="L724" s="99"/>
      <c r="M724" s="99"/>
      <c r="N724" s="99" t="s">
        <v>457</v>
      </c>
      <c r="O724" s="71"/>
      <c r="P724" s="71"/>
      <c r="Q724" s="71"/>
      <c r="R724" s="71"/>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c r="AS724" s="71"/>
      <c r="AT724" s="71"/>
    </row>
    <row r="725" spans="1:46" s="89" customFormat="1" ht="15.65" hidden="1" customHeight="1" x14ac:dyDescent="0.35">
      <c r="A725" s="188" t="s">
        <v>721</v>
      </c>
      <c r="B725" s="188"/>
      <c r="C725" s="181" t="s">
        <v>717</v>
      </c>
      <c r="D725" s="167" t="s">
        <v>427</v>
      </c>
      <c r="E725" s="167" t="s">
        <v>369</v>
      </c>
      <c r="F725" s="99"/>
      <c r="G725" s="203">
        <v>61.4</v>
      </c>
      <c r="H725" s="106">
        <v>64.150000000000006</v>
      </c>
      <c r="I725" s="99"/>
      <c r="J725" s="99" t="s">
        <v>509</v>
      </c>
      <c r="K725" s="107">
        <v>44196</v>
      </c>
      <c r="L725" s="99"/>
      <c r="M725" s="99" t="s">
        <v>20</v>
      </c>
      <c r="N725" s="99" t="s">
        <v>429</v>
      </c>
      <c r="O725" s="71"/>
      <c r="P725" s="71"/>
      <c r="Q725" s="71"/>
      <c r="R725" s="71"/>
      <c r="S725" s="71"/>
      <c r="T725" s="71"/>
      <c r="U725" s="71"/>
      <c r="V725" s="71"/>
      <c r="W725" s="71"/>
      <c r="X725" s="71"/>
      <c r="Y725" s="71"/>
      <c r="Z725" s="71"/>
      <c r="AA725" s="71"/>
      <c r="AB725" s="71"/>
      <c r="AC725" s="71"/>
      <c r="AD725" s="71"/>
      <c r="AE725" s="71"/>
      <c r="AF725" s="71"/>
      <c r="AG725" s="71"/>
      <c r="AH725" s="71"/>
      <c r="AI725" s="71"/>
      <c r="AJ725" s="71"/>
      <c r="AK725" s="71"/>
      <c r="AL725" s="71"/>
      <c r="AM725" s="71"/>
      <c r="AN725" s="71"/>
      <c r="AO725" s="71"/>
      <c r="AP725" s="71"/>
      <c r="AQ725" s="71"/>
      <c r="AR725" s="71"/>
      <c r="AS725" s="71"/>
      <c r="AT725" s="71"/>
    </row>
    <row r="726" spans="1:46" s="89" customFormat="1" ht="15.65" hidden="1" customHeight="1" x14ac:dyDescent="0.35">
      <c r="A726" s="212" t="s">
        <v>721</v>
      </c>
      <c r="B726" s="212"/>
      <c r="C726" s="170" t="s">
        <v>722</v>
      </c>
      <c r="D726" s="150" t="s">
        <v>427</v>
      </c>
      <c r="E726" s="150" t="s">
        <v>369</v>
      </c>
      <c r="F726" s="99"/>
      <c r="G726" s="214">
        <v>32</v>
      </c>
      <c r="H726" s="213">
        <v>34.75</v>
      </c>
      <c r="I726" s="150"/>
      <c r="J726" s="150" t="s">
        <v>432</v>
      </c>
      <c r="K726" s="178">
        <v>44469</v>
      </c>
      <c r="L726" s="170" t="s">
        <v>723</v>
      </c>
      <c r="M726" s="150" t="s">
        <v>456</v>
      </c>
      <c r="N726" s="218" t="s">
        <v>439</v>
      </c>
      <c r="O726" s="71"/>
      <c r="P726" s="71"/>
      <c r="Q726" s="71"/>
      <c r="R726" s="71"/>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c r="AS726" s="71"/>
      <c r="AT726" s="71"/>
    </row>
    <row r="727" spans="1:46" ht="15.65" hidden="1" customHeight="1" x14ac:dyDescent="0.35">
      <c r="A727" s="188" t="s">
        <v>721</v>
      </c>
      <c r="B727" s="188"/>
      <c r="C727" s="169" t="s">
        <v>722</v>
      </c>
      <c r="D727" s="150" t="s">
        <v>427</v>
      </c>
      <c r="E727" s="150" t="s">
        <v>369</v>
      </c>
      <c r="F727" s="99"/>
      <c r="G727" s="117">
        <v>39.799999999999997</v>
      </c>
      <c r="H727" s="117">
        <f>G727+2.75</f>
        <v>42.55</v>
      </c>
      <c r="I727" s="190"/>
      <c r="J727" s="99" t="s">
        <v>432</v>
      </c>
      <c r="K727" s="107">
        <v>44561</v>
      </c>
      <c r="L727" s="169" t="s">
        <v>464</v>
      </c>
      <c r="M727" s="99" t="s">
        <v>456</v>
      </c>
      <c r="N727" s="108" t="s">
        <v>439</v>
      </c>
    </row>
    <row r="728" spans="1:46" ht="15.65" hidden="1" customHeight="1" x14ac:dyDescent="0.35">
      <c r="A728" s="188" t="s">
        <v>721</v>
      </c>
      <c r="B728" s="188"/>
      <c r="C728" s="169" t="s">
        <v>722</v>
      </c>
      <c r="D728" s="150" t="s">
        <v>465</v>
      </c>
      <c r="E728" s="168" t="s">
        <v>369</v>
      </c>
      <c r="F728" s="99"/>
      <c r="G728" s="117">
        <v>32.25</v>
      </c>
      <c r="H728" s="117">
        <f>G728+2.75</f>
        <v>35</v>
      </c>
      <c r="I728" s="190"/>
      <c r="J728" s="99" t="s">
        <v>432</v>
      </c>
      <c r="K728" s="107">
        <v>44926</v>
      </c>
      <c r="L728" s="169" t="s">
        <v>724</v>
      </c>
      <c r="M728" s="99" t="s">
        <v>456</v>
      </c>
      <c r="N728" s="108" t="s">
        <v>439</v>
      </c>
    </row>
    <row r="729" spans="1:46" s="89" customFormat="1" ht="15.65" hidden="1" customHeight="1" x14ac:dyDescent="0.35">
      <c r="A729" s="180" t="s">
        <v>725</v>
      </c>
      <c r="B729" s="180"/>
      <c r="C729" s="181" t="s">
        <v>726</v>
      </c>
      <c r="D729" s="167" t="s">
        <v>427</v>
      </c>
      <c r="E729" s="167" t="s">
        <v>369</v>
      </c>
      <c r="F729" s="99"/>
      <c r="G729" s="171">
        <v>55.8</v>
      </c>
      <c r="H729" s="171">
        <f>G729+2.75</f>
        <v>58.55</v>
      </c>
      <c r="I729" s="172"/>
      <c r="J729" s="99" t="s">
        <v>428</v>
      </c>
      <c r="K729" s="107">
        <v>44196</v>
      </c>
      <c r="L729" s="99"/>
      <c r="M729" s="99"/>
      <c r="N729" s="99" t="s">
        <v>429</v>
      </c>
      <c r="O729" s="71"/>
      <c r="P729" s="71"/>
      <c r="Q729" s="71"/>
      <c r="R729" s="71"/>
      <c r="S729" s="71"/>
      <c r="T729" s="71"/>
      <c r="U729" s="71"/>
      <c r="V729" s="71"/>
      <c r="W729" s="71"/>
      <c r="X729" s="71"/>
      <c r="Y729" s="71"/>
      <c r="Z729" s="71"/>
      <c r="AA729" s="71"/>
      <c r="AB729" s="71"/>
      <c r="AC729" s="71"/>
      <c r="AD729" s="71"/>
      <c r="AE729" s="71"/>
      <c r="AF729" s="71"/>
      <c r="AG729" s="71"/>
      <c r="AH729" s="71"/>
      <c r="AI729" s="71"/>
      <c r="AJ729" s="71"/>
      <c r="AK729" s="71"/>
      <c r="AL729" s="71"/>
      <c r="AM729" s="71"/>
      <c r="AN729" s="71"/>
      <c r="AO729" s="71"/>
      <c r="AP729" s="71"/>
      <c r="AQ729" s="71"/>
      <c r="AR729" s="71"/>
      <c r="AS729" s="71"/>
      <c r="AT729" s="71"/>
    </row>
    <row r="730" spans="1:46" ht="15.65" hidden="1" customHeight="1" x14ac:dyDescent="0.35">
      <c r="A730" s="188" t="s">
        <v>727</v>
      </c>
      <c r="B730" s="188"/>
      <c r="C730" s="181" t="s">
        <v>728</v>
      </c>
      <c r="D730" s="167" t="s">
        <v>427</v>
      </c>
      <c r="E730" s="167" t="s">
        <v>369</v>
      </c>
      <c r="F730" s="99"/>
      <c r="G730" s="106">
        <v>45.64</v>
      </c>
      <c r="H730" s="106">
        <v>48.39</v>
      </c>
      <c r="I730" s="99"/>
      <c r="J730" s="99" t="s">
        <v>428</v>
      </c>
      <c r="K730" s="107">
        <v>44196</v>
      </c>
      <c r="L730" s="99"/>
      <c r="M730" s="99"/>
      <c r="N730" s="99" t="s">
        <v>429</v>
      </c>
    </row>
    <row r="731" spans="1:46" s="89" customFormat="1" ht="15.65" hidden="1" customHeight="1" x14ac:dyDescent="0.35">
      <c r="A731" s="188" t="s">
        <v>727</v>
      </c>
      <c r="B731" s="188"/>
      <c r="C731" s="181" t="s">
        <v>728</v>
      </c>
      <c r="D731" s="167" t="s">
        <v>444</v>
      </c>
      <c r="E731" s="168" t="s">
        <v>369</v>
      </c>
      <c r="F731" s="99"/>
      <c r="G731" s="106">
        <v>45.64</v>
      </c>
      <c r="H731" s="106">
        <v>48.39</v>
      </c>
      <c r="I731" s="99"/>
      <c r="J731" s="99" t="s">
        <v>428</v>
      </c>
      <c r="K731" s="107">
        <v>44926</v>
      </c>
      <c r="L731" s="99"/>
      <c r="M731" s="99"/>
      <c r="N731" s="99" t="s">
        <v>418</v>
      </c>
      <c r="O731" s="71"/>
      <c r="P731" s="71"/>
      <c r="Q731" s="71"/>
      <c r="R731" s="71"/>
      <c r="S731" s="71"/>
      <c r="T731" s="71"/>
      <c r="U731" s="71"/>
      <c r="V731" s="71"/>
      <c r="W731" s="71"/>
      <c r="X731" s="71"/>
      <c r="Y731" s="71"/>
      <c r="Z731" s="71"/>
      <c r="AA731" s="71"/>
      <c r="AB731" s="71"/>
      <c r="AC731" s="71"/>
      <c r="AD731" s="71"/>
      <c r="AE731" s="71"/>
      <c r="AF731" s="71"/>
      <c r="AG731" s="71"/>
      <c r="AH731" s="71"/>
      <c r="AI731" s="71"/>
      <c r="AJ731" s="71"/>
      <c r="AK731" s="71"/>
      <c r="AL731" s="71"/>
      <c r="AM731" s="71"/>
      <c r="AN731" s="71"/>
      <c r="AO731" s="71"/>
      <c r="AP731" s="71"/>
      <c r="AQ731" s="71"/>
      <c r="AR731" s="71"/>
      <c r="AS731" s="71"/>
      <c r="AT731" s="71"/>
    </row>
    <row r="732" spans="1:46" s="89" customFormat="1" ht="15.65" hidden="1" customHeight="1" x14ac:dyDescent="0.35">
      <c r="A732" s="204" t="s">
        <v>390</v>
      </c>
      <c r="B732" s="204"/>
      <c r="C732" s="169" t="s">
        <v>729</v>
      </c>
      <c r="D732" s="150" t="s">
        <v>444</v>
      </c>
      <c r="E732" s="216" t="s">
        <v>653</v>
      </c>
      <c r="F732" s="99"/>
      <c r="G732" s="117">
        <v>65.8</v>
      </c>
      <c r="H732" s="117">
        <f>G732+4</f>
        <v>69.8</v>
      </c>
      <c r="I732" s="99"/>
      <c r="J732" s="99" t="s">
        <v>487</v>
      </c>
      <c r="K732" s="107">
        <v>44742</v>
      </c>
      <c r="L732" s="169" t="s">
        <v>730</v>
      </c>
      <c r="M732" s="99"/>
      <c r="N732" s="108" t="s">
        <v>439</v>
      </c>
      <c r="O732" s="71"/>
      <c r="P732" s="71"/>
      <c r="Q732" s="71"/>
      <c r="R732" s="71"/>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c r="AS732" s="71"/>
      <c r="AT732" s="71"/>
    </row>
    <row r="733" spans="1:46" s="89" customFormat="1" ht="15.65" hidden="1" customHeight="1" x14ac:dyDescent="0.35">
      <c r="A733" s="188" t="s">
        <v>731</v>
      </c>
      <c r="B733" s="188"/>
      <c r="C733" s="99" t="s">
        <v>732</v>
      </c>
      <c r="D733" s="150" t="s">
        <v>427</v>
      </c>
      <c r="E733" s="150" t="s">
        <v>369</v>
      </c>
      <c r="F733" s="99"/>
      <c r="G733" s="117">
        <v>127</v>
      </c>
      <c r="H733" s="106">
        <v>129.75</v>
      </c>
      <c r="I733" s="99"/>
      <c r="J733" s="99" t="s">
        <v>428</v>
      </c>
      <c r="K733" s="107">
        <v>44561</v>
      </c>
      <c r="L733" s="169" t="s">
        <v>733</v>
      </c>
      <c r="M733" s="99"/>
      <c r="N733" s="108" t="s">
        <v>443</v>
      </c>
      <c r="O733" s="71"/>
      <c r="P733" s="71"/>
      <c r="Q733" s="71"/>
      <c r="R733" s="71"/>
      <c r="S733" s="71"/>
      <c r="T733" s="71"/>
      <c r="U733" s="71"/>
      <c r="V733" s="71"/>
      <c r="W733" s="71"/>
      <c r="X733" s="71"/>
      <c r="Y733" s="71"/>
      <c r="Z733" s="71"/>
      <c r="AA733" s="71"/>
      <c r="AB733" s="71"/>
      <c r="AC733" s="71"/>
      <c r="AD733" s="71"/>
      <c r="AE733" s="71"/>
      <c r="AF733" s="71"/>
      <c r="AG733" s="71"/>
      <c r="AH733" s="71"/>
      <c r="AI733" s="71"/>
      <c r="AJ733" s="71"/>
      <c r="AK733" s="71"/>
      <c r="AL733" s="71"/>
      <c r="AM733" s="71"/>
      <c r="AN733" s="71"/>
      <c r="AO733" s="71"/>
      <c r="AP733" s="71"/>
      <c r="AQ733" s="71"/>
      <c r="AR733" s="71"/>
      <c r="AS733" s="71"/>
      <c r="AT733" s="71"/>
    </row>
    <row r="734" spans="1:46" ht="15.65" hidden="1" customHeight="1" x14ac:dyDescent="0.35">
      <c r="A734" s="188" t="s">
        <v>731</v>
      </c>
      <c r="B734" s="188"/>
      <c r="C734" s="99" t="s">
        <v>732</v>
      </c>
      <c r="D734" s="150" t="s">
        <v>444</v>
      </c>
      <c r="E734" s="150" t="s">
        <v>369</v>
      </c>
      <c r="F734" s="99"/>
      <c r="G734" s="117">
        <v>127</v>
      </c>
      <c r="H734" s="106">
        <v>129.75</v>
      </c>
      <c r="I734" s="99"/>
      <c r="J734" s="99" t="s">
        <v>428</v>
      </c>
      <c r="K734" s="107">
        <v>44926</v>
      </c>
      <c r="L734" s="169"/>
      <c r="M734" s="99"/>
      <c r="N734" s="108" t="s">
        <v>418</v>
      </c>
    </row>
    <row r="735" spans="1:46" ht="15.65" hidden="1" customHeight="1" x14ac:dyDescent="0.35">
      <c r="A735" s="188" t="s">
        <v>734</v>
      </c>
      <c r="B735" s="188"/>
      <c r="C735" s="99" t="s">
        <v>735</v>
      </c>
      <c r="D735" s="150" t="s">
        <v>427</v>
      </c>
      <c r="E735" s="150" t="s">
        <v>369</v>
      </c>
      <c r="F735" s="99"/>
      <c r="G735" s="106">
        <v>165.66</v>
      </c>
      <c r="H735" s="106">
        <v>168.41</v>
      </c>
      <c r="I735" s="99"/>
      <c r="J735" s="99" t="s">
        <v>477</v>
      </c>
      <c r="K735" s="107">
        <v>44377</v>
      </c>
      <c r="L735" s="169" t="s">
        <v>486</v>
      </c>
      <c r="M735" s="99" t="s">
        <v>20</v>
      </c>
      <c r="N735" s="108" t="s">
        <v>443</v>
      </c>
    </row>
    <row r="736" spans="1:46" ht="15.65" hidden="1" customHeight="1" x14ac:dyDescent="0.35">
      <c r="A736" s="188" t="s">
        <v>736</v>
      </c>
      <c r="B736" s="188"/>
      <c r="C736" s="99" t="s">
        <v>737</v>
      </c>
      <c r="D736" s="150" t="s">
        <v>444</v>
      </c>
      <c r="E736" s="150" t="s">
        <v>369</v>
      </c>
      <c r="F736" s="99"/>
      <c r="G736" s="117">
        <v>131.1</v>
      </c>
      <c r="H736" s="117">
        <f t="shared" ref="H736:H743" si="8">G736+2.75</f>
        <v>133.85</v>
      </c>
      <c r="I736" s="99"/>
      <c r="J736" s="99" t="s">
        <v>428</v>
      </c>
      <c r="K736" s="107">
        <v>44926</v>
      </c>
      <c r="L736" s="99"/>
      <c r="M736" s="99"/>
      <c r="N736" s="108" t="s">
        <v>418</v>
      </c>
    </row>
    <row r="737" spans="1:46" ht="15.65" hidden="1" customHeight="1" x14ac:dyDescent="0.35">
      <c r="A737" s="188" t="s">
        <v>738</v>
      </c>
      <c r="B737" s="188"/>
      <c r="C737" s="191" t="s">
        <v>739</v>
      </c>
      <c r="D737" s="192" t="s">
        <v>474</v>
      </c>
      <c r="E737" s="192" t="s">
        <v>369</v>
      </c>
      <c r="F737" s="99"/>
      <c r="G737" s="106">
        <v>237.75</v>
      </c>
      <c r="H737" s="117">
        <f t="shared" si="8"/>
        <v>240.5</v>
      </c>
      <c r="I737" s="190"/>
      <c r="J737" s="99" t="s">
        <v>428</v>
      </c>
      <c r="K737" s="107">
        <v>44196</v>
      </c>
      <c r="L737" s="99" t="s">
        <v>740</v>
      </c>
      <c r="M737" s="99"/>
      <c r="N737" s="99" t="s">
        <v>429</v>
      </c>
    </row>
    <row r="738" spans="1:46" s="89" customFormat="1" ht="15.65" hidden="1" customHeight="1" x14ac:dyDescent="0.35">
      <c r="A738" s="188" t="s">
        <v>72</v>
      </c>
      <c r="B738" s="188"/>
      <c r="C738" s="181" t="s">
        <v>73</v>
      </c>
      <c r="D738" s="167" t="s">
        <v>1</v>
      </c>
      <c r="E738" s="167" t="s">
        <v>369</v>
      </c>
      <c r="F738" s="99"/>
      <c r="G738" s="106">
        <v>138.30000000000001</v>
      </c>
      <c r="H738" s="117">
        <f t="shared" si="8"/>
        <v>141.05000000000001</v>
      </c>
      <c r="I738" s="190"/>
      <c r="J738" s="99" t="s">
        <v>428</v>
      </c>
      <c r="K738" s="107">
        <v>44561</v>
      </c>
      <c r="L738" s="99"/>
      <c r="M738" s="99" t="s">
        <v>20</v>
      </c>
      <c r="N738" s="99" t="s">
        <v>457</v>
      </c>
      <c r="O738" s="71"/>
      <c r="P738" s="71"/>
      <c r="Q738" s="71"/>
      <c r="R738" s="71"/>
      <c r="S738" s="71"/>
      <c r="T738" s="71"/>
      <c r="U738" s="71"/>
      <c r="V738" s="71"/>
      <c r="W738" s="71"/>
      <c r="X738" s="71"/>
      <c r="Y738" s="71"/>
      <c r="Z738" s="71"/>
      <c r="AA738" s="71"/>
      <c r="AB738" s="71"/>
      <c r="AC738" s="71"/>
      <c r="AD738" s="71"/>
      <c r="AE738" s="71"/>
      <c r="AF738" s="71"/>
      <c r="AG738" s="71"/>
      <c r="AH738" s="71"/>
      <c r="AI738" s="71"/>
      <c r="AJ738" s="71"/>
      <c r="AK738" s="71"/>
      <c r="AL738" s="71"/>
      <c r="AM738" s="71"/>
      <c r="AN738" s="71"/>
      <c r="AO738" s="71"/>
      <c r="AP738" s="71"/>
      <c r="AQ738" s="71"/>
      <c r="AR738" s="71"/>
      <c r="AS738" s="71"/>
      <c r="AT738" s="71"/>
    </row>
    <row r="739" spans="1:46" s="89" customFormat="1" ht="15.65" hidden="1" customHeight="1" x14ac:dyDescent="0.35">
      <c r="A739" s="188" t="s">
        <v>72</v>
      </c>
      <c r="B739" s="188"/>
      <c r="C739" s="181" t="s">
        <v>73</v>
      </c>
      <c r="D739" s="167" t="s">
        <v>444</v>
      </c>
      <c r="E739" s="167" t="s">
        <v>369</v>
      </c>
      <c r="F739" s="99"/>
      <c r="G739" s="106">
        <v>138.5</v>
      </c>
      <c r="H739" s="117">
        <f t="shared" si="8"/>
        <v>141.25</v>
      </c>
      <c r="I739" s="190"/>
      <c r="J739" s="99" t="s">
        <v>428</v>
      </c>
      <c r="K739" s="107">
        <v>44926</v>
      </c>
      <c r="L739" s="99"/>
      <c r="M739" s="99" t="s">
        <v>20</v>
      </c>
      <c r="N739" s="99" t="s">
        <v>418</v>
      </c>
      <c r="O739" s="71"/>
      <c r="P739" s="71"/>
      <c r="Q739" s="71"/>
      <c r="R739" s="71"/>
      <c r="S739" s="71"/>
      <c r="T739" s="71"/>
      <c r="U739" s="71"/>
      <c r="V739" s="71"/>
      <c r="W739" s="71"/>
      <c r="X739" s="71"/>
      <c r="Y739" s="71"/>
      <c r="Z739" s="71"/>
      <c r="AA739" s="71"/>
      <c r="AB739" s="71"/>
      <c r="AC739" s="71"/>
      <c r="AD739" s="71"/>
      <c r="AE739" s="71"/>
      <c r="AF739" s="71"/>
      <c r="AG739" s="71"/>
      <c r="AH739" s="71"/>
      <c r="AI739" s="71"/>
      <c r="AJ739" s="71"/>
      <c r="AK739" s="71"/>
      <c r="AL739" s="71"/>
      <c r="AM739" s="71"/>
      <c r="AN739" s="71"/>
      <c r="AO739" s="71"/>
      <c r="AP739" s="71"/>
      <c r="AQ739" s="71"/>
      <c r="AR739" s="71"/>
      <c r="AS739" s="71"/>
      <c r="AT739" s="71"/>
    </row>
    <row r="740" spans="1:46" s="89" customFormat="1" ht="15.65" hidden="1" customHeight="1" x14ac:dyDescent="0.35">
      <c r="A740" s="188" t="s">
        <v>741</v>
      </c>
      <c r="B740" s="188"/>
      <c r="C740" s="191" t="s">
        <v>73</v>
      </c>
      <c r="D740" s="192" t="s">
        <v>1</v>
      </c>
      <c r="E740" s="192" t="s">
        <v>369</v>
      </c>
      <c r="F740" s="99"/>
      <c r="G740" s="106">
        <v>123.46</v>
      </c>
      <c r="H740" s="106">
        <f t="shared" si="8"/>
        <v>126.21</v>
      </c>
      <c r="I740" s="99"/>
      <c r="J740" s="99" t="s">
        <v>509</v>
      </c>
      <c r="K740" s="107">
        <v>44196</v>
      </c>
      <c r="L740" s="99"/>
      <c r="M740" s="99" t="s">
        <v>104</v>
      </c>
      <c r="N740" s="99" t="s">
        <v>429</v>
      </c>
      <c r="O740" s="71"/>
      <c r="P740" s="71"/>
      <c r="Q740" s="71"/>
      <c r="R740" s="71"/>
      <c r="S740" s="71"/>
      <c r="T740" s="71"/>
      <c r="U740" s="71"/>
      <c r="V740" s="71"/>
      <c r="W740" s="71"/>
      <c r="X740" s="71"/>
      <c r="Y740" s="71"/>
      <c r="Z740" s="71"/>
      <c r="AA740" s="71"/>
      <c r="AB740" s="71"/>
      <c r="AC740" s="71"/>
      <c r="AD740" s="71"/>
      <c r="AE740" s="71"/>
      <c r="AF740" s="71"/>
      <c r="AG740" s="71"/>
      <c r="AH740" s="71"/>
      <c r="AI740" s="71"/>
      <c r="AJ740" s="71"/>
      <c r="AK740" s="71"/>
      <c r="AL740" s="71"/>
      <c r="AM740" s="71"/>
      <c r="AN740" s="71"/>
      <c r="AO740" s="71"/>
      <c r="AP740" s="71"/>
      <c r="AQ740" s="71"/>
      <c r="AR740" s="71"/>
      <c r="AS740" s="71"/>
      <c r="AT740" s="71"/>
    </row>
    <row r="741" spans="1:46" s="89" customFormat="1" ht="15.65" hidden="1" customHeight="1" x14ac:dyDescent="0.35">
      <c r="A741" s="188" t="s">
        <v>742</v>
      </c>
      <c r="B741" s="188"/>
      <c r="C741" s="191" t="s">
        <v>743</v>
      </c>
      <c r="D741" s="192" t="s">
        <v>427</v>
      </c>
      <c r="E741" s="167" t="s">
        <v>369</v>
      </c>
      <c r="F741" s="99"/>
      <c r="G741" s="106">
        <v>328.48</v>
      </c>
      <c r="H741" s="106">
        <f t="shared" si="8"/>
        <v>331.23</v>
      </c>
      <c r="I741" s="99"/>
      <c r="J741" s="99" t="s">
        <v>428</v>
      </c>
      <c r="K741" s="107">
        <v>44196</v>
      </c>
      <c r="L741" s="169" t="s">
        <v>744</v>
      </c>
      <c r="M741" s="99"/>
      <c r="N741" s="99" t="s">
        <v>429</v>
      </c>
      <c r="O741" s="71"/>
      <c r="P741" s="71"/>
      <c r="Q741" s="71"/>
      <c r="R741" s="71"/>
      <c r="S741" s="71"/>
      <c r="T741" s="71"/>
      <c r="U741" s="71"/>
      <c r="V741" s="71"/>
      <c r="W741" s="71"/>
      <c r="X741" s="71"/>
      <c r="Y741" s="71"/>
      <c r="Z741" s="71"/>
      <c r="AA741" s="71"/>
      <c r="AB741" s="71"/>
      <c r="AC741" s="71"/>
      <c r="AD741" s="71"/>
      <c r="AE741" s="71"/>
      <c r="AF741" s="71"/>
      <c r="AG741" s="71"/>
      <c r="AH741" s="71"/>
      <c r="AI741" s="71"/>
      <c r="AJ741" s="71"/>
      <c r="AK741" s="71"/>
      <c r="AL741" s="71"/>
      <c r="AM741" s="71"/>
      <c r="AN741" s="71"/>
      <c r="AO741" s="71"/>
      <c r="AP741" s="71"/>
      <c r="AQ741" s="71"/>
      <c r="AR741" s="71"/>
      <c r="AS741" s="71"/>
      <c r="AT741" s="71"/>
    </row>
    <row r="742" spans="1:46" s="89" customFormat="1" ht="15.65" hidden="1" customHeight="1" x14ac:dyDescent="0.35">
      <c r="A742" s="188" t="s">
        <v>742</v>
      </c>
      <c r="B742" s="188"/>
      <c r="C742" s="191" t="s">
        <v>743</v>
      </c>
      <c r="D742" s="192" t="s">
        <v>465</v>
      </c>
      <c r="E742" s="167" t="s">
        <v>369</v>
      </c>
      <c r="F742" s="99"/>
      <c r="G742" s="117">
        <v>328.4</v>
      </c>
      <c r="H742" s="106">
        <f t="shared" si="8"/>
        <v>331.15</v>
      </c>
      <c r="I742" s="99"/>
      <c r="J742" s="99" t="s">
        <v>428</v>
      </c>
      <c r="K742" s="107">
        <v>44926</v>
      </c>
      <c r="L742" s="169" t="s">
        <v>745</v>
      </c>
      <c r="M742" s="99"/>
      <c r="N742" s="99" t="s">
        <v>443</v>
      </c>
      <c r="O742" s="71"/>
      <c r="P742" s="71"/>
      <c r="Q742" s="71"/>
      <c r="R742" s="71"/>
      <c r="S742" s="71"/>
      <c r="T742" s="71"/>
      <c r="U742" s="71"/>
      <c r="V742" s="71"/>
      <c r="W742" s="71"/>
      <c r="X742" s="71"/>
      <c r="Y742" s="71"/>
      <c r="Z742" s="71"/>
      <c r="AA742" s="71"/>
      <c r="AB742" s="71"/>
      <c r="AC742" s="71"/>
      <c r="AD742" s="71"/>
      <c r="AE742" s="71"/>
      <c r="AF742" s="71"/>
      <c r="AG742" s="71"/>
      <c r="AH742" s="71"/>
      <c r="AI742" s="71"/>
      <c r="AJ742" s="71"/>
      <c r="AK742" s="71"/>
      <c r="AL742" s="71"/>
      <c r="AM742" s="71"/>
      <c r="AN742" s="71"/>
      <c r="AO742" s="71"/>
      <c r="AP742" s="71"/>
      <c r="AQ742" s="71"/>
      <c r="AR742" s="71"/>
      <c r="AS742" s="71"/>
      <c r="AT742" s="71"/>
    </row>
    <row r="743" spans="1:46" s="89" customFormat="1" ht="15.65" hidden="1" customHeight="1" x14ac:dyDescent="0.35">
      <c r="A743" s="175" t="s">
        <v>397</v>
      </c>
      <c r="B743" s="175"/>
      <c r="C743" s="167" t="s">
        <v>746</v>
      </c>
      <c r="D743" s="167" t="s">
        <v>427</v>
      </c>
      <c r="E743" s="167" t="s">
        <v>369</v>
      </c>
      <c r="F743" s="99"/>
      <c r="G743" s="176">
        <v>204.8</v>
      </c>
      <c r="H743" s="176">
        <f t="shared" si="8"/>
        <v>207.55</v>
      </c>
      <c r="I743" s="177"/>
      <c r="J743" s="150" t="s">
        <v>432</v>
      </c>
      <c r="K743" s="178">
        <v>44561</v>
      </c>
      <c r="L743" s="150"/>
      <c r="M743" s="150" t="s">
        <v>20</v>
      </c>
      <c r="N743" s="150" t="s">
        <v>457</v>
      </c>
      <c r="O743" s="71"/>
      <c r="P743" s="71"/>
      <c r="Q743" s="71"/>
      <c r="R743" s="71"/>
      <c r="S743" s="71"/>
      <c r="T743" s="71"/>
      <c r="U743" s="71"/>
      <c r="V743" s="71"/>
      <c r="W743" s="71"/>
      <c r="X743" s="71"/>
      <c r="Y743" s="71"/>
      <c r="Z743" s="71"/>
      <c r="AA743" s="71"/>
      <c r="AB743" s="71"/>
      <c r="AC743" s="71"/>
      <c r="AD743" s="71"/>
      <c r="AE743" s="71"/>
      <c r="AF743" s="71"/>
      <c r="AG743" s="71"/>
      <c r="AH743" s="71"/>
      <c r="AI743" s="71"/>
      <c r="AJ743" s="71"/>
      <c r="AK743" s="71"/>
      <c r="AL743" s="71"/>
      <c r="AM743" s="71"/>
      <c r="AN743" s="71"/>
      <c r="AO743" s="71"/>
      <c r="AP743" s="71"/>
      <c r="AQ743" s="71"/>
      <c r="AR743" s="71"/>
      <c r="AS743" s="71"/>
      <c r="AT743" s="71"/>
    </row>
    <row r="744" spans="1:46" ht="15.65" hidden="1" customHeight="1" x14ac:dyDescent="0.35">
      <c r="A744" s="188" t="s">
        <v>747</v>
      </c>
      <c r="B744" s="188"/>
      <c r="C744" s="169" t="s">
        <v>748</v>
      </c>
      <c r="D744" s="150" t="s">
        <v>444</v>
      </c>
      <c r="E744" s="216" t="s">
        <v>653</v>
      </c>
      <c r="F744" s="99"/>
      <c r="G744" s="117">
        <v>485</v>
      </c>
      <c r="H744" s="117">
        <v>489</v>
      </c>
      <c r="I744" s="99"/>
      <c r="J744" s="99" t="s">
        <v>428</v>
      </c>
      <c r="K744" s="107">
        <v>44742</v>
      </c>
      <c r="L744" s="169" t="s">
        <v>749</v>
      </c>
      <c r="M744" s="99"/>
      <c r="N744" s="108" t="s">
        <v>443</v>
      </c>
    </row>
    <row r="745" spans="1:46" ht="15.65" hidden="1" customHeight="1" x14ac:dyDescent="0.35">
      <c r="A745" s="180" t="s">
        <v>45</v>
      </c>
      <c r="B745" s="180"/>
      <c r="C745" s="181" t="s">
        <v>750</v>
      </c>
      <c r="D745" s="167" t="s">
        <v>427</v>
      </c>
      <c r="E745" s="167" t="s">
        <v>369</v>
      </c>
      <c r="F745" s="99"/>
      <c r="G745" s="171">
        <v>30.75</v>
      </c>
      <c r="H745" s="171">
        <f>G745+2.75</f>
        <v>33.5</v>
      </c>
      <c r="I745" s="172"/>
      <c r="J745" s="99" t="s">
        <v>428</v>
      </c>
      <c r="K745" s="107">
        <v>44561</v>
      </c>
      <c r="L745" s="99"/>
      <c r="M745" s="99"/>
      <c r="N745" s="99" t="s">
        <v>457</v>
      </c>
    </row>
    <row r="746" spans="1:46" s="89" customFormat="1" ht="15.65" hidden="1" customHeight="1" x14ac:dyDescent="0.35">
      <c r="A746" s="180" t="s">
        <v>751</v>
      </c>
      <c r="B746" s="180"/>
      <c r="C746" s="181" t="s">
        <v>752</v>
      </c>
      <c r="D746" s="167" t="s">
        <v>427</v>
      </c>
      <c r="E746" s="167" t="s">
        <v>369</v>
      </c>
      <c r="F746" s="99"/>
      <c r="G746" s="171">
        <v>75.650000000000006</v>
      </c>
      <c r="H746" s="171">
        <f>G746+2.75</f>
        <v>78.400000000000006</v>
      </c>
      <c r="I746" s="172"/>
      <c r="J746" s="99" t="s">
        <v>428</v>
      </c>
      <c r="K746" s="107">
        <v>44561</v>
      </c>
      <c r="L746" s="99"/>
      <c r="M746" s="99"/>
      <c r="N746" s="99" t="s">
        <v>457</v>
      </c>
      <c r="O746" s="71"/>
      <c r="P746" s="71"/>
      <c r="Q746" s="71"/>
      <c r="R746" s="71"/>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c r="AP746" s="71"/>
      <c r="AQ746" s="71"/>
      <c r="AR746" s="71"/>
      <c r="AS746" s="71"/>
      <c r="AT746" s="71"/>
    </row>
    <row r="747" spans="1:46" s="89" customFormat="1" ht="15.65" hidden="1" customHeight="1" x14ac:dyDescent="0.35">
      <c r="A747" s="183" t="s">
        <v>342</v>
      </c>
      <c r="B747" s="183"/>
      <c r="C747" s="194" t="s">
        <v>753</v>
      </c>
      <c r="D747" s="195" t="s">
        <v>427</v>
      </c>
      <c r="E747" s="195" t="s">
        <v>369</v>
      </c>
      <c r="F747" s="99"/>
      <c r="G747" s="196">
        <v>37.520000000000003</v>
      </c>
      <c r="H747" s="196">
        <f>G747+2.75</f>
        <v>40.270000000000003</v>
      </c>
      <c r="I747" s="197"/>
      <c r="J747" s="198" t="s">
        <v>432</v>
      </c>
      <c r="K747" s="199">
        <v>44561</v>
      </c>
      <c r="L747" s="198"/>
      <c r="M747" s="198" t="s">
        <v>20</v>
      </c>
      <c r="N747" s="198" t="s">
        <v>457</v>
      </c>
      <c r="O747" s="71"/>
      <c r="P747" s="71"/>
      <c r="Q747" s="71"/>
      <c r="R747" s="71"/>
      <c r="S747" s="71"/>
      <c r="T747" s="71"/>
      <c r="U747" s="71"/>
      <c r="V747" s="71"/>
      <c r="W747" s="71"/>
      <c r="X747" s="71"/>
      <c r="Y747" s="71"/>
      <c r="Z747" s="71"/>
      <c r="AA747" s="71"/>
      <c r="AB747" s="71"/>
      <c r="AC747" s="71"/>
      <c r="AD747" s="71"/>
      <c r="AE747" s="71"/>
      <c r="AF747" s="71"/>
      <c r="AG747" s="71"/>
      <c r="AH747" s="71"/>
      <c r="AI747" s="71"/>
      <c r="AJ747" s="71"/>
      <c r="AK747" s="71"/>
      <c r="AL747" s="71"/>
      <c r="AM747" s="71"/>
      <c r="AN747" s="71"/>
      <c r="AO747" s="71"/>
      <c r="AP747" s="71"/>
      <c r="AQ747" s="71"/>
      <c r="AR747" s="71"/>
      <c r="AS747" s="71"/>
      <c r="AT747" s="71"/>
    </row>
    <row r="748" spans="1:46" ht="15.65" hidden="1" customHeight="1" x14ac:dyDescent="0.35">
      <c r="A748" s="188" t="s">
        <v>342</v>
      </c>
      <c r="B748" s="188"/>
      <c r="C748" s="181" t="s">
        <v>754</v>
      </c>
      <c r="D748" s="167" t="s">
        <v>427</v>
      </c>
      <c r="E748" s="167" t="s">
        <v>369</v>
      </c>
      <c r="F748" s="99"/>
      <c r="G748" s="117">
        <v>48.5</v>
      </c>
      <c r="H748" s="106">
        <v>51.25</v>
      </c>
      <c r="I748" s="99"/>
      <c r="J748" s="99" t="s">
        <v>491</v>
      </c>
      <c r="K748" s="107">
        <v>44561</v>
      </c>
      <c r="L748" s="99"/>
      <c r="M748" s="99" t="s">
        <v>624</v>
      </c>
      <c r="N748" s="182" t="s">
        <v>457</v>
      </c>
    </row>
    <row r="749" spans="1:46" ht="15.65" hidden="1" customHeight="1" x14ac:dyDescent="0.35">
      <c r="A749" s="188" t="s">
        <v>342</v>
      </c>
      <c r="B749" s="188"/>
      <c r="C749" s="181" t="s">
        <v>754</v>
      </c>
      <c r="D749" s="167" t="s">
        <v>444</v>
      </c>
      <c r="E749" s="167" t="s">
        <v>369</v>
      </c>
      <c r="F749" s="99"/>
      <c r="G749" s="117">
        <v>48.5</v>
      </c>
      <c r="H749" s="106">
        <v>51.25</v>
      </c>
      <c r="I749" s="99"/>
      <c r="J749" s="99" t="s">
        <v>491</v>
      </c>
      <c r="K749" s="107">
        <v>44926</v>
      </c>
      <c r="L749" s="99"/>
      <c r="M749" s="99" t="s">
        <v>624</v>
      </c>
      <c r="N749" s="182" t="s">
        <v>418</v>
      </c>
    </row>
    <row r="750" spans="1:46" ht="15.65" hidden="1" customHeight="1" x14ac:dyDescent="0.35">
      <c r="A750" s="175" t="s">
        <v>755</v>
      </c>
      <c r="B750" s="175"/>
      <c r="C750" s="167" t="s">
        <v>756</v>
      </c>
      <c r="D750" s="167" t="s">
        <v>427</v>
      </c>
      <c r="E750" s="167" t="s">
        <v>369</v>
      </c>
      <c r="F750" s="99"/>
      <c r="G750" s="176">
        <v>111.5</v>
      </c>
      <c r="H750" s="176">
        <f>G750+2.75</f>
        <v>114.25</v>
      </c>
      <c r="I750" s="177"/>
      <c r="J750" s="150" t="s">
        <v>605</v>
      </c>
      <c r="K750" s="178">
        <v>43921</v>
      </c>
      <c r="L750" s="150" t="s">
        <v>427</v>
      </c>
      <c r="M750" s="99"/>
      <c r="N750" s="99" t="s">
        <v>427</v>
      </c>
    </row>
    <row r="751" spans="1:46" ht="15.65" hidden="1" customHeight="1" x14ac:dyDescent="0.35">
      <c r="A751" s="180" t="s">
        <v>755</v>
      </c>
      <c r="B751" s="180"/>
      <c r="C751" s="181" t="s">
        <v>756</v>
      </c>
      <c r="D751" s="167" t="s">
        <v>427</v>
      </c>
      <c r="E751" s="167" t="s">
        <v>369</v>
      </c>
      <c r="F751" s="99"/>
      <c r="G751" s="171">
        <v>110.23</v>
      </c>
      <c r="H751" s="106">
        <v>112.98</v>
      </c>
      <c r="I751" s="99"/>
      <c r="J751" s="99" t="s">
        <v>432</v>
      </c>
      <c r="K751" s="107">
        <v>44196</v>
      </c>
      <c r="L751" s="99"/>
      <c r="M751" s="99"/>
      <c r="N751" s="173" t="s">
        <v>429</v>
      </c>
    </row>
    <row r="752" spans="1:46" ht="15.65" hidden="1" customHeight="1" x14ac:dyDescent="0.35">
      <c r="A752" s="175" t="s">
        <v>755</v>
      </c>
      <c r="B752" s="175"/>
      <c r="C752" s="181" t="s">
        <v>756</v>
      </c>
      <c r="D752" s="167" t="s">
        <v>444</v>
      </c>
      <c r="E752" s="167" t="s">
        <v>369</v>
      </c>
      <c r="F752" s="99"/>
      <c r="G752" s="176">
        <v>111.5</v>
      </c>
      <c r="H752" s="176">
        <f>G752+2.75</f>
        <v>114.25</v>
      </c>
      <c r="I752" s="177"/>
      <c r="J752" s="150" t="s">
        <v>428</v>
      </c>
      <c r="K752" s="178">
        <v>44926</v>
      </c>
      <c r="L752" s="150"/>
      <c r="M752" s="99"/>
      <c r="N752" s="99" t="s">
        <v>418</v>
      </c>
    </row>
    <row r="753" spans="1:46" ht="15.65" hidden="1" customHeight="1" x14ac:dyDescent="0.35">
      <c r="A753" s="175" t="s">
        <v>349</v>
      </c>
      <c r="B753" s="175"/>
      <c r="C753" s="167" t="s">
        <v>757</v>
      </c>
      <c r="D753" s="167" t="s">
        <v>427</v>
      </c>
      <c r="E753" s="167" t="s">
        <v>369</v>
      </c>
      <c r="F753" s="99"/>
      <c r="G753" s="176">
        <v>85.45</v>
      </c>
      <c r="H753" s="176">
        <f>G753+2.75</f>
        <v>88.2</v>
      </c>
      <c r="I753" s="177"/>
      <c r="J753" s="150" t="s">
        <v>441</v>
      </c>
      <c r="K753" s="178">
        <v>44043</v>
      </c>
      <c r="L753" s="150" t="s">
        <v>427</v>
      </c>
      <c r="M753" s="99"/>
      <c r="N753" s="99" t="s">
        <v>427</v>
      </c>
    </row>
    <row r="754" spans="1:46" s="89" customFormat="1" ht="15.65" hidden="1" customHeight="1" x14ac:dyDescent="0.35">
      <c r="A754" s="180" t="s">
        <v>349</v>
      </c>
      <c r="B754" s="180"/>
      <c r="C754" s="181" t="s">
        <v>757</v>
      </c>
      <c r="D754" s="167" t="s">
        <v>427</v>
      </c>
      <c r="E754" s="167" t="s">
        <v>369</v>
      </c>
      <c r="F754" s="99"/>
      <c r="G754" s="171">
        <v>85.45</v>
      </c>
      <c r="H754" s="117">
        <v>88.2</v>
      </c>
      <c r="I754" s="190"/>
      <c r="J754" s="107" t="s">
        <v>428</v>
      </c>
      <c r="K754" s="107">
        <v>44196</v>
      </c>
      <c r="L754" s="99" t="s">
        <v>427</v>
      </c>
      <c r="M754" s="99"/>
      <c r="N754" s="173" t="s">
        <v>427</v>
      </c>
      <c r="O754" s="71"/>
      <c r="P754" s="71"/>
      <c r="Q754" s="71"/>
      <c r="R754" s="71"/>
      <c r="S754" s="71"/>
      <c r="T754" s="71"/>
      <c r="U754" s="71"/>
      <c r="V754" s="71"/>
      <c r="W754" s="71"/>
      <c r="X754" s="71"/>
      <c r="Y754" s="71"/>
      <c r="Z754" s="71"/>
      <c r="AA754" s="71"/>
      <c r="AB754" s="71"/>
      <c r="AC754" s="71"/>
      <c r="AD754" s="71"/>
      <c r="AE754" s="71"/>
      <c r="AF754" s="71"/>
      <c r="AG754" s="71"/>
      <c r="AH754" s="71"/>
      <c r="AI754" s="71"/>
      <c r="AJ754" s="71"/>
      <c r="AK754" s="71"/>
      <c r="AL754" s="71"/>
      <c r="AM754" s="71"/>
      <c r="AN754" s="71"/>
      <c r="AO754" s="71"/>
      <c r="AP754" s="71"/>
      <c r="AQ754" s="71"/>
      <c r="AR754" s="71"/>
      <c r="AS754" s="71"/>
      <c r="AT754" s="71"/>
    </row>
    <row r="755" spans="1:46" s="89" customFormat="1" ht="15.65" hidden="1" customHeight="1" x14ac:dyDescent="0.35">
      <c r="A755" s="180" t="s">
        <v>349</v>
      </c>
      <c r="B755" s="180"/>
      <c r="C755" s="181" t="s">
        <v>757</v>
      </c>
      <c r="D755" s="167" t="s">
        <v>427</v>
      </c>
      <c r="E755" s="167" t="s">
        <v>369</v>
      </c>
      <c r="F755" s="99"/>
      <c r="G755" s="171">
        <v>85.45</v>
      </c>
      <c r="H755" s="117">
        <v>88.2</v>
      </c>
      <c r="I755" s="190"/>
      <c r="J755" s="107" t="s">
        <v>428</v>
      </c>
      <c r="K755" s="107">
        <v>44561</v>
      </c>
      <c r="L755" s="169" t="s">
        <v>758</v>
      </c>
      <c r="M755" s="99"/>
      <c r="N755" s="173" t="s">
        <v>443</v>
      </c>
      <c r="O755" s="71"/>
      <c r="P755" s="71"/>
      <c r="Q755" s="71"/>
      <c r="R755" s="71"/>
      <c r="S755" s="71"/>
      <c r="T755" s="71"/>
      <c r="U755" s="71"/>
      <c r="V755" s="71"/>
      <c r="W755" s="71"/>
      <c r="X755" s="71"/>
      <c r="Y755" s="71"/>
      <c r="Z755" s="71"/>
      <c r="AA755" s="71"/>
      <c r="AB755" s="71"/>
      <c r="AC755" s="71"/>
      <c r="AD755" s="71"/>
      <c r="AE755" s="71"/>
      <c r="AF755" s="71"/>
      <c r="AG755" s="71"/>
      <c r="AH755" s="71"/>
      <c r="AI755" s="71"/>
      <c r="AJ755" s="71"/>
      <c r="AK755" s="71"/>
      <c r="AL755" s="71"/>
      <c r="AM755" s="71"/>
      <c r="AN755" s="71"/>
      <c r="AO755" s="71"/>
      <c r="AP755" s="71"/>
      <c r="AQ755" s="71"/>
      <c r="AR755" s="71"/>
      <c r="AS755" s="71"/>
      <c r="AT755" s="71"/>
    </row>
    <row r="756" spans="1:46" ht="15.65" hidden="1" customHeight="1" x14ac:dyDescent="0.35">
      <c r="A756" s="183" t="s">
        <v>349</v>
      </c>
      <c r="B756" s="183"/>
      <c r="C756" s="194" t="s">
        <v>757</v>
      </c>
      <c r="D756" s="195" t="s">
        <v>444</v>
      </c>
      <c r="E756" s="167" t="s">
        <v>369</v>
      </c>
      <c r="F756" s="99"/>
      <c r="G756" s="196">
        <v>85.45</v>
      </c>
      <c r="H756" s="219">
        <v>88.2</v>
      </c>
      <c r="I756" s="220"/>
      <c r="J756" s="199" t="s">
        <v>428</v>
      </c>
      <c r="K756" s="199">
        <v>44926</v>
      </c>
      <c r="L756" s="200"/>
      <c r="M756" s="198"/>
      <c r="N756" s="221" t="s">
        <v>418</v>
      </c>
    </row>
    <row r="757" spans="1:46" ht="15.65" hidden="1" customHeight="1" x14ac:dyDescent="0.35">
      <c r="A757" s="180" t="s">
        <v>759</v>
      </c>
      <c r="B757" s="180"/>
      <c r="C757" s="181" t="s">
        <v>760</v>
      </c>
      <c r="D757" s="167" t="s">
        <v>427</v>
      </c>
      <c r="E757" s="167" t="s">
        <v>369</v>
      </c>
      <c r="F757" s="99"/>
      <c r="G757" s="171">
        <v>23.6</v>
      </c>
      <c r="H757" s="171">
        <f>G757+2.75</f>
        <v>26.35</v>
      </c>
      <c r="I757" s="172"/>
      <c r="J757" s="99" t="s">
        <v>428</v>
      </c>
      <c r="K757" s="107">
        <v>44561</v>
      </c>
      <c r="L757" s="99"/>
      <c r="M757" s="99"/>
      <c r="N757" s="99" t="s">
        <v>433</v>
      </c>
    </row>
    <row r="758" spans="1:46" ht="15.65" hidden="1" customHeight="1" x14ac:dyDescent="0.35">
      <c r="A758" s="188" t="s">
        <v>761</v>
      </c>
      <c r="B758" s="188"/>
      <c r="C758" s="99" t="s">
        <v>762</v>
      </c>
      <c r="D758" s="150" t="s">
        <v>444</v>
      </c>
      <c r="E758" s="216" t="s">
        <v>653</v>
      </c>
      <c r="F758" s="99"/>
      <c r="G758" s="106">
        <v>40.15</v>
      </c>
      <c r="H758" s="106">
        <v>44.15</v>
      </c>
      <c r="I758" s="99"/>
      <c r="J758" s="99" t="s">
        <v>487</v>
      </c>
      <c r="K758" s="107">
        <v>44804</v>
      </c>
      <c r="L758" s="169" t="s">
        <v>763</v>
      </c>
      <c r="M758" s="99"/>
      <c r="N758" s="108" t="s">
        <v>443</v>
      </c>
    </row>
    <row r="759" spans="1:46" s="89" customFormat="1" ht="15.65" hidden="1" customHeight="1" x14ac:dyDescent="0.35">
      <c r="A759" s="222" t="s">
        <v>764</v>
      </c>
      <c r="B759" s="222"/>
      <c r="C759" s="195" t="s">
        <v>765</v>
      </c>
      <c r="D759" s="195" t="s">
        <v>427</v>
      </c>
      <c r="E759" s="195" t="s">
        <v>369</v>
      </c>
      <c r="F759" s="99"/>
      <c r="G759" s="223">
        <v>66.900000000000006</v>
      </c>
      <c r="H759" s="223">
        <f>G759+2.75</f>
        <v>69.650000000000006</v>
      </c>
      <c r="I759" s="224"/>
      <c r="J759" s="225" t="s">
        <v>432</v>
      </c>
      <c r="K759" s="226">
        <v>43921</v>
      </c>
      <c r="L759" s="225" t="s">
        <v>427</v>
      </c>
      <c r="M759" s="198"/>
      <c r="N759" s="198" t="s">
        <v>427</v>
      </c>
      <c r="O759" s="71"/>
      <c r="P759" s="71"/>
      <c r="Q759" s="71"/>
      <c r="R759" s="71"/>
      <c r="S759" s="71"/>
      <c r="T759" s="71"/>
      <c r="U759" s="71"/>
      <c r="V759" s="71"/>
      <c r="W759" s="71"/>
      <c r="X759" s="71"/>
      <c r="Y759" s="71"/>
      <c r="Z759" s="71"/>
      <c r="AA759" s="71"/>
      <c r="AB759" s="71"/>
      <c r="AC759" s="71"/>
      <c r="AD759" s="71"/>
      <c r="AE759" s="71"/>
      <c r="AF759" s="71"/>
      <c r="AG759" s="71"/>
      <c r="AH759" s="71"/>
      <c r="AI759" s="71"/>
      <c r="AJ759" s="71"/>
      <c r="AK759" s="71"/>
      <c r="AL759" s="71"/>
      <c r="AM759" s="71"/>
      <c r="AN759" s="71"/>
      <c r="AO759" s="71"/>
      <c r="AP759" s="71"/>
      <c r="AQ759" s="71"/>
      <c r="AR759" s="71"/>
      <c r="AS759" s="71"/>
      <c r="AT759" s="71"/>
    </row>
    <row r="760" spans="1:46" s="89" customFormat="1" ht="15.65" hidden="1" customHeight="1" x14ac:dyDescent="0.35">
      <c r="A760" s="227" t="s">
        <v>766</v>
      </c>
      <c r="B760" s="227"/>
      <c r="C760" s="228" t="s">
        <v>765</v>
      </c>
      <c r="D760" s="229" t="s">
        <v>427</v>
      </c>
      <c r="E760" s="229" t="s">
        <v>369</v>
      </c>
      <c r="F760" s="99"/>
      <c r="G760" s="230">
        <v>66.900000000000006</v>
      </c>
      <c r="H760" s="231">
        <f>G760+2.75</f>
        <v>69.650000000000006</v>
      </c>
      <c r="I760" s="232"/>
      <c r="J760" s="198" t="s">
        <v>432</v>
      </c>
      <c r="K760" s="199">
        <v>44255</v>
      </c>
      <c r="L760" s="200" t="s">
        <v>767</v>
      </c>
      <c r="M760" s="198"/>
      <c r="N760" s="198" t="s">
        <v>443</v>
      </c>
      <c r="O760" s="71"/>
      <c r="P760" s="71"/>
      <c r="Q760" s="71"/>
      <c r="R760" s="71"/>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1"/>
      <c r="AS760" s="71"/>
      <c r="AT760" s="71"/>
    </row>
    <row r="761" spans="1:46" s="89" customFormat="1" ht="15.65" hidden="1" customHeight="1" x14ac:dyDescent="0.35">
      <c r="A761" s="188" t="s">
        <v>766</v>
      </c>
      <c r="B761" s="188"/>
      <c r="C761" s="191" t="s">
        <v>765</v>
      </c>
      <c r="D761" s="192" t="s">
        <v>427</v>
      </c>
      <c r="E761" s="192" t="s">
        <v>369</v>
      </c>
      <c r="F761" s="99"/>
      <c r="G761" s="203">
        <v>66.900000000000006</v>
      </c>
      <c r="H761" s="106">
        <f>G761+2.75</f>
        <v>69.650000000000006</v>
      </c>
      <c r="I761" s="99"/>
      <c r="J761" s="99" t="s">
        <v>432</v>
      </c>
      <c r="K761" s="107">
        <v>44561</v>
      </c>
      <c r="L761" s="169" t="s">
        <v>464</v>
      </c>
      <c r="M761" s="99"/>
      <c r="N761" s="99" t="s">
        <v>443</v>
      </c>
      <c r="O761" s="71"/>
      <c r="P761" s="71"/>
      <c r="Q761" s="71"/>
      <c r="R761" s="71"/>
      <c r="S761" s="71"/>
      <c r="T761" s="71"/>
      <c r="U761" s="71"/>
      <c r="V761" s="71"/>
      <c r="W761" s="71"/>
      <c r="X761" s="71"/>
      <c r="Y761" s="71"/>
      <c r="Z761" s="71"/>
      <c r="AA761" s="71"/>
      <c r="AB761" s="71"/>
      <c r="AC761" s="71"/>
      <c r="AD761" s="71"/>
      <c r="AE761" s="71"/>
      <c r="AF761" s="71"/>
      <c r="AG761" s="71"/>
      <c r="AH761" s="71"/>
      <c r="AI761" s="71"/>
      <c r="AJ761" s="71"/>
      <c r="AK761" s="71"/>
      <c r="AL761" s="71"/>
      <c r="AM761" s="71"/>
      <c r="AN761" s="71"/>
      <c r="AO761" s="71"/>
      <c r="AP761" s="71"/>
      <c r="AQ761" s="71"/>
      <c r="AR761" s="71"/>
      <c r="AS761" s="71"/>
      <c r="AT761" s="71"/>
    </row>
    <row r="762" spans="1:46" ht="15.65" hidden="1" customHeight="1" x14ac:dyDescent="0.35">
      <c r="A762" s="188" t="s">
        <v>766</v>
      </c>
      <c r="B762" s="188"/>
      <c r="C762" s="191" t="s">
        <v>765</v>
      </c>
      <c r="D762" s="192" t="s">
        <v>444</v>
      </c>
      <c r="E762" s="170" t="s">
        <v>369</v>
      </c>
      <c r="F762" s="99"/>
      <c r="G762" s="203">
        <v>66.900000000000006</v>
      </c>
      <c r="H762" s="106">
        <f>G762+2.75</f>
        <v>69.650000000000006</v>
      </c>
      <c r="I762" s="99"/>
      <c r="J762" s="99" t="s">
        <v>432</v>
      </c>
      <c r="K762" s="107">
        <v>44926</v>
      </c>
      <c r="L762" s="169"/>
      <c r="M762" s="99"/>
      <c r="N762" s="99" t="s">
        <v>458</v>
      </c>
    </row>
    <row r="763" spans="1:46" ht="15.65" hidden="1" customHeight="1" x14ac:dyDescent="0.35">
      <c r="A763" s="188" t="s">
        <v>768</v>
      </c>
      <c r="B763" s="188"/>
      <c r="C763" s="99" t="s">
        <v>769</v>
      </c>
      <c r="D763" s="150" t="s">
        <v>427</v>
      </c>
      <c r="E763" s="150" t="s">
        <v>369</v>
      </c>
      <c r="F763" s="99"/>
      <c r="G763" s="106">
        <v>43.95</v>
      </c>
      <c r="H763" s="117">
        <v>46.7</v>
      </c>
      <c r="I763" s="190"/>
      <c r="J763" s="99" t="s">
        <v>515</v>
      </c>
      <c r="K763" s="107">
        <v>44561</v>
      </c>
      <c r="L763" s="169" t="s">
        <v>516</v>
      </c>
      <c r="M763" s="99"/>
      <c r="N763" s="108" t="s">
        <v>443</v>
      </c>
    </row>
    <row r="764" spans="1:46" ht="15.65" hidden="1" customHeight="1" x14ac:dyDescent="0.35">
      <c r="A764" s="188" t="s">
        <v>768</v>
      </c>
      <c r="B764" s="188"/>
      <c r="C764" s="99" t="s">
        <v>769</v>
      </c>
      <c r="D764" s="150" t="s">
        <v>444</v>
      </c>
      <c r="E764" s="150" t="s">
        <v>369</v>
      </c>
      <c r="F764" s="99"/>
      <c r="G764" s="106">
        <v>47.07</v>
      </c>
      <c r="H764" s="117">
        <f>G764+2.75</f>
        <v>49.82</v>
      </c>
      <c r="I764" s="190"/>
      <c r="J764" s="99" t="s">
        <v>515</v>
      </c>
      <c r="K764" s="107">
        <v>44926</v>
      </c>
      <c r="L764" s="169"/>
      <c r="M764" s="99"/>
      <c r="N764" s="108" t="s">
        <v>418</v>
      </c>
    </row>
    <row r="765" spans="1:46" s="89" customFormat="1" ht="15.65" hidden="1" customHeight="1" x14ac:dyDescent="0.35">
      <c r="A765" s="222" t="s">
        <v>770</v>
      </c>
      <c r="B765" s="222"/>
      <c r="C765" s="195" t="s">
        <v>771</v>
      </c>
      <c r="D765" s="195" t="s">
        <v>427</v>
      </c>
      <c r="E765" s="195" t="s">
        <v>369</v>
      </c>
      <c r="F765" s="99"/>
      <c r="G765" s="223">
        <v>21.75</v>
      </c>
      <c r="H765" s="223">
        <f>G765+2.75</f>
        <v>24.5</v>
      </c>
      <c r="I765" s="224"/>
      <c r="J765" s="225" t="s">
        <v>432</v>
      </c>
      <c r="K765" s="226">
        <v>44561</v>
      </c>
      <c r="L765" s="225"/>
      <c r="M765" s="225" t="s">
        <v>20</v>
      </c>
      <c r="N765" s="225" t="s">
        <v>457</v>
      </c>
      <c r="O765" s="71"/>
      <c r="P765" s="71"/>
      <c r="Q765" s="71"/>
      <c r="R765" s="71"/>
      <c r="S765" s="71"/>
      <c r="T765" s="71"/>
      <c r="U765" s="71"/>
      <c r="V765" s="71"/>
      <c r="W765" s="71"/>
      <c r="X765" s="71"/>
      <c r="Y765" s="71"/>
      <c r="Z765" s="71"/>
      <c r="AA765" s="71"/>
      <c r="AB765" s="71"/>
      <c r="AC765" s="71"/>
      <c r="AD765" s="71"/>
      <c r="AE765" s="71"/>
      <c r="AF765" s="71"/>
      <c r="AG765" s="71"/>
      <c r="AH765" s="71"/>
      <c r="AI765" s="71"/>
      <c r="AJ765" s="71"/>
      <c r="AK765" s="71"/>
      <c r="AL765" s="71"/>
      <c r="AM765" s="71"/>
      <c r="AN765" s="71"/>
      <c r="AO765" s="71"/>
      <c r="AP765" s="71"/>
      <c r="AQ765" s="71"/>
      <c r="AR765" s="71"/>
      <c r="AS765" s="71"/>
      <c r="AT765" s="71"/>
    </row>
    <row r="766" spans="1:46" ht="15.65" hidden="1" customHeight="1" x14ac:dyDescent="0.35">
      <c r="A766" s="188" t="s">
        <v>772</v>
      </c>
      <c r="B766" s="188"/>
      <c r="C766" s="169" t="s">
        <v>773</v>
      </c>
      <c r="D766" s="150" t="s">
        <v>427</v>
      </c>
      <c r="E766" s="168" t="s">
        <v>369</v>
      </c>
      <c r="F766" s="99"/>
      <c r="G766" s="117">
        <v>17.8</v>
      </c>
      <c r="H766" s="106">
        <v>20.55</v>
      </c>
      <c r="I766" s="99"/>
      <c r="J766" s="99" t="s">
        <v>487</v>
      </c>
      <c r="K766" s="107">
        <v>44377</v>
      </c>
      <c r="L766" s="169" t="s">
        <v>774</v>
      </c>
      <c r="M766" s="99"/>
      <c r="N766" s="108" t="s">
        <v>443</v>
      </c>
    </row>
    <row r="767" spans="1:46" ht="15.65" hidden="1" customHeight="1" x14ac:dyDescent="0.35">
      <c r="A767" s="188" t="s">
        <v>772</v>
      </c>
      <c r="B767" s="188"/>
      <c r="C767" s="169" t="s">
        <v>773</v>
      </c>
      <c r="D767" s="150" t="s">
        <v>444</v>
      </c>
      <c r="E767" s="168" t="s">
        <v>369</v>
      </c>
      <c r="F767" s="99"/>
      <c r="G767" s="117">
        <v>22</v>
      </c>
      <c r="H767" s="117">
        <f t="shared" ref="H767:H773" si="9">G767+2.75</f>
        <v>24.75</v>
      </c>
      <c r="I767" s="99"/>
      <c r="J767" s="99" t="s">
        <v>487</v>
      </c>
      <c r="K767" s="107">
        <v>44926</v>
      </c>
      <c r="L767" s="169"/>
      <c r="M767" s="99"/>
      <c r="N767" s="108" t="s">
        <v>418</v>
      </c>
    </row>
    <row r="768" spans="1:46" s="89" customFormat="1" ht="15.65" hidden="1" customHeight="1" x14ac:dyDescent="0.35">
      <c r="A768" s="183" t="s">
        <v>775</v>
      </c>
      <c r="B768" s="183"/>
      <c r="C768" s="194" t="s">
        <v>776</v>
      </c>
      <c r="D768" s="195" t="s">
        <v>427</v>
      </c>
      <c r="E768" s="195" t="s">
        <v>369</v>
      </c>
      <c r="F768" s="99"/>
      <c r="G768" s="196">
        <v>32.520000000000003</v>
      </c>
      <c r="H768" s="196">
        <f t="shared" si="9"/>
        <v>35.270000000000003</v>
      </c>
      <c r="I768" s="197"/>
      <c r="J768" s="198" t="s">
        <v>432</v>
      </c>
      <c r="K768" s="199">
        <v>44561</v>
      </c>
      <c r="L768" s="198"/>
      <c r="M768" s="198" t="s">
        <v>624</v>
      </c>
      <c r="N768" s="198" t="s">
        <v>457</v>
      </c>
      <c r="O768" s="71"/>
      <c r="P768" s="71"/>
      <c r="Q768" s="71"/>
      <c r="R768" s="71"/>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c r="AS768" s="71"/>
      <c r="AT768" s="71"/>
    </row>
    <row r="769" spans="1:46" ht="15.65" hidden="1" customHeight="1" x14ac:dyDescent="0.35">
      <c r="A769" s="180" t="s">
        <v>360</v>
      </c>
      <c r="B769" s="180"/>
      <c r="C769" s="181" t="s">
        <v>777</v>
      </c>
      <c r="D769" s="167" t="s">
        <v>427</v>
      </c>
      <c r="E769" s="168" t="s">
        <v>369</v>
      </c>
      <c r="F769" s="99"/>
      <c r="G769" s="171">
        <v>40.950000000000003</v>
      </c>
      <c r="H769" s="171">
        <f t="shared" si="9"/>
        <v>43.7</v>
      </c>
      <c r="I769" s="172"/>
      <c r="J769" s="99" t="s">
        <v>428</v>
      </c>
      <c r="K769" s="107">
        <v>44561</v>
      </c>
      <c r="L769" s="169" t="s">
        <v>778</v>
      </c>
      <c r="M769" s="99" t="s">
        <v>20</v>
      </c>
      <c r="N769" s="99" t="s">
        <v>779</v>
      </c>
    </row>
    <row r="770" spans="1:46" ht="15.65" hidden="1" customHeight="1" x14ac:dyDescent="0.35">
      <c r="A770" s="180" t="s">
        <v>780</v>
      </c>
      <c r="B770" s="180"/>
      <c r="C770" s="181" t="s">
        <v>777</v>
      </c>
      <c r="D770" s="167" t="s">
        <v>427</v>
      </c>
      <c r="E770" s="167" t="s">
        <v>369</v>
      </c>
      <c r="F770" s="99"/>
      <c r="G770" s="171">
        <v>38.799999999999997</v>
      </c>
      <c r="H770" s="171">
        <f t="shared" si="9"/>
        <v>41.55</v>
      </c>
      <c r="I770" s="172"/>
      <c r="J770" s="99" t="s">
        <v>432</v>
      </c>
      <c r="K770" s="107">
        <v>44196</v>
      </c>
      <c r="L770" s="99" t="s">
        <v>781</v>
      </c>
      <c r="M770" s="99" t="s">
        <v>20</v>
      </c>
      <c r="N770" s="99" t="s">
        <v>429</v>
      </c>
    </row>
    <row r="771" spans="1:46" s="89" customFormat="1" ht="15.65" hidden="1" customHeight="1" x14ac:dyDescent="0.35">
      <c r="A771" s="180" t="s">
        <v>782</v>
      </c>
      <c r="B771" s="180"/>
      <c r="C771" s="181" t="s">
        <v>783</v>
      </c>
      <c r="D771" s="167" t="s">
        <v>427</v>
      </c>
      <c r="E771" s="167" t="s">
        <v>369</v>
      </c>
      <c r="F771" s="99"/>
      <c r="G771" s="171">
        <v>142.65</v>
      </c>
      <c r="H771" s="171">
        <f t="shared" si="9"/>
        <v>145.4</v>
      </c>
      <c r="I771" s="172"/>
      <c r="J771" s="99" t="s">
        <v>428</v>
      </c>
      <c r="K771" s="107">
        <v>44561</v>
      </c>
      <c r="L771" s="99"/>
      <c r="M771" s="99"/>
      <c r="N771" s="99" t="s">
        <v>457</v>
      </c>
      <c r="O771" s="71"/>
      <c r="P771" s="71"/>
      <c r="Q771" s="71"/>
      <c r="R771" s="71"/>
      <c r="S771" s="71"/>
      <c r="T771" s="71"/>
      <c r="U771" s="71"/>
      <c r="V771" s="71"/>
      <c r="W771" s="71"/>
      <c r="X771" s="71"/>
      <c r="Y771" s="71"/>
      <c r="Z771" s="71"/>
      <c r="AA771" s="71"/>
      <c r="AB771" s="71"/>
      <c r="AC771" s="71"/>
      <c r="AD771" s="71"/>
      <c r="AE771" s="71"/>
      <c r="AF771" s="71"/>
      <c r="AG771" s="71"/>
      <c r="AH771" s="71"/>
      <c r="AI771" s="71"/>
      <c r="AJ771" s="71"/>
      <c r="AK771" s="71"/>
      <c r="AL771" s="71"/>
      <c r="AM771" s="71"/>
      <c r="AN771" s="71"/>
      <c r="AO771" s="71"/>
      <c r="AP771" s="71"/>
      <c r="AQ771" s="71"/>
      <c r="AR771" s="71"/>
      <c r="AS771" s="71"/>
      <c r="AT771" s="71"/>
    </row>
    <row r="772" spans="1:46" ht="15.65" hidden="1" customHeight="1" x14ac:dyDescent="0.35">
      <c r="A772" s="222" t="s">
        <v>784</v>
      </c>
      <c r="B772" s="222"/>
      <c r="C772" s="195" t="s">
        <v>367</v>
      </c>
      <c r="D772" s="195" t="s">
        <v>427</v>
      </c>
      <c r="E772" s="195" t="s">
        <v>369</v>
      </c>
      <c r="F772" s="99"/>
      <c r="G772" s="223">
        <v>16.5</v>
      </c>
      <c r="H772" s="223">
        <f t="shared" si="9"/>
        <v>19.25</v>
      </c>
      <c r="I772" s="224"/>
      <c r="J772" s="225" t="s">
        <v>432</v>
      </c>
      <c r="K772" s="226">
        <v>44196</v>
      </c>
      <c r="L772" s="225"/>
      <c r="M772" s="225" t="s">
        <v>20</v>
      </c>
      <c r="N772" s="225" t="s">
        <v>429</v>
      </c>
    </row>
    <row r="773" spans="1:46" ht="15.65" hidden="1" customHeight="1" x14ac:dyDescent="0.35">
      <c r="A773" s="183" t="s">
        <v>784</v>
      </c>
      <c r="B773" s="183"/>
      <c r="C773" s="194" t="s">
        <v>367</v>
      </c>
      <c r="D773" s="195" t="s">
        <v>427</v>
      </c>
      <c r="E773" s="195" t="s">
        <v>369</v>
      </c>
      <c r="F773" s="99"/>
      <c r="G773" s="196">
        <v>21.85</v>
      </c>
      <c r="H773" s="196">
        <f t="shared" si="9"/>
        <v>24.6</v>
      </c>
      <c r="I773" s="187"/>
      <c r="J773" s="198" t="s">
        <v>428</v>
      </c>
      <c r="K773" s="199">
        <v>44561</v>
      </c>
      <c r="L773" s="198"/>
      <c r="M773" s="198" t="s">
        <v>20</v>
      </c>
      <c r="N773" s="198" t="s">
        <v>457</v>
      </c>
    </row>
    <row r="774" spans="1:46" ht="15.65" hidden="1" customHeight="1" x14ac:dyDescent="0.35">
      <c r="A774" s="188" t="s">
        <v>785</v>
      </c>
      <c r="B774" s="188"/>
      <c r="C774" s="99" t="s">
        <v>786</v>
      </c>
      <c r="D774" s="150" t="s">
        <v>427</v>
      </c>
      <c r="E774" s="150" t="s">
        <v>369</v>
      </c>
      <c r="F774" s="99"/>
      <c r="G774" s="106">
        <v>35.74</v>
      </c>
      <c r="H774" s="106">
        <v>38.49</v>
      </c>
      <c r="I774" s="99"/>
      <c r="J774" s="99" t="s">
        <v>477</v>
      </c>
      <c r="K774" s="107">
        <v>44377</v>
      </c>
      <c r="L774" s="169" t="s">
        <v>486</v>
      </c>
      <c r="M774" s="99" t="s">
        <v>624</v>
      </c>
      <c r="N774" s="108" t="s">
        <v>443</v>
      </c>
    </row>
    <row r="775" spans="1:46" ht="15.65" hidden="1" customHeight="1" x14ac:dyDescent="0.35">
      <c r="A775" s="204" t="s">
        <v>785</v>
      </c>
      <c r="B775" s="204"/>
      <c r="C775" s="99" t="s">
        <v>786</v>
      </c>
      <c r="D775" s="150" t="s">
        <v>427</v>
      </c>
      <c r="E775" s="150" t="s">
        <v>369</v>
      </c>
      <c r="F775" s="99"/>
      <c r="G775" s="106">
        <v>45.77</v>
      </c>
      <c r="H775" s="106">
        <f>G775+2.75</f>
        <v>48.52</v>
      </c>
      <c r="I775" s="99"/>
      <c r="J775" s="99" t="s">
        <v>432</v>
      </c>
      <c r="K775" s="107">
        <v>44561</v>
      </c>
      <c r="L775" s="169" t="s">
        <v>787</v>
      </c>
      <c r="M775" s="99" t="s">
        <v>624</v>
      </c>
      <c r="N775" s="108" t="s">
        <v>443</v>
      </c>
    </row>
    <row r="776" spans="1:46" s="89" customFormat="1" ht="15.65" hidden="1" customHeight="1" x14ac:dyDescent="0.35">
      <c r="A776" s="204" t="s">
        <v>785</v>
      </c>
      <c r="B776" s="204"/>
      <c r="C776" s="99" t="s">
        <v>786</v>
      </c>
      <c r="D776" s="150" t="s">
        <v>444</v>
      </c>
      <c r="E776" s="150" t="s">
        <v>369</v>
      </c>
      <c r="F776" s="99"/>
      <c r="G776" s="106">
        <v>45.77</v>
      </c>
      <c r="H776" s="106">
        <f>G776+2.75</f>
        <v>48.52</v>
      </c>
      <c r="I776" s="99"/>
      <c r="J776" s="99" t="s">
        <v>432</v>
      </c>
      <c r="K776" s="107">
        <v>44926</v>
      </c>
      <c r="L776" s="169"/>
      <c r="M776" s="99" t="s">
        <v>624</v>
      </c>
      <c r="N776" s="108" t="s">
        <v>458</v>
      </c>
      <c r="O776" s="71"/>
      <c r="P776" s="71"/>
      <c r="Q776" s="71"/>
      <c r="R776" s="71"/>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c r="AS776" s="71"/>
      <c r="AT776" s="71"/>
    </row>
    <row r="777" spans="1:46" ht="15.65" hidden="1" customHeight="1" x14ac:dyDescent="0.35">
      <c r="A777" s="180" t="s">
        <v>788</v>
      </c>
      <c r="B777" s="180"/>
      <c r="C777" s="169" t="s">
        <v>789</v>
      </c>
      <c r="D777" s="170" t="s">
        <v>427</v>
      </c>
      <c r="E777" s="170" t="s">
        <v>369</v>
      </c>
      <c r="F777" s="99"/>
      <c r="G777" s="171">
        <v>76.650000000000006</v>
      </c>
      <c r="H777" s="171">
        <f>G777+2.75</f>
        <v>79.400000000000006</v>
      </c>
      <c r="I777" s="172"/>
      <c r="J777" s="99" t="s">
        <v>428</v>
      </c>
      <c r="K777" s="107">
        <v>44561</v>
      </c>
      <c r="L777" s="170" t="s">
        <v>790</v>
      </c>
      <c r="M777" s="99"/>
      <c r="N777" s="99" t="s">
        <v>457</v>
      </c>
    </row>
    <row r="778" spans="1:46" ht="15.65" hidden="1" customHeight="1" x14ac:dyDescent="0.35">
      <c r="A778" s="183" t="s">
        <v>788</v>
      </c>
      <c r="B778" s="183"/>
      <c r="C778" s="174" t="s">
        <v>789</v>
      </c>
      <c r="D778" s="150" t="s">
        <v>465</v>
      </c>
      <c r="E778" s="170" t="s">
        <v>369</v>
      </c>
      <c r="F778" s="99"/>
      <c r="G778" s="106">
        <v>76.650000000000006</v>
      </c>
      <c r="H778" s="117">
        <v>79.400000000000006</v>
      </c>
      <c r="I778" s="99"/>
      <c r="J778" s="99" t="s">
        <v>428</v>
      </c>
      <c r="K778" s="107">
        <v>44926</v>
      </c>
      <c r="L778" s="233" t="s">
        <v>791</v>
      </c>
      <c r="M778" s="99"/>
      <c r="N778" s="108" t="s">
        <v>443</v>
      </c>
    </row>
    <row r="779" spans="1:46" s="89" customFormat="1" ht="15.65" hidden="1" customHeight="1" x14ac:dyDescent="0.35">
      <c r="A779" s="183" t="s">
        <v>788</v>
      </c>
      <c r="B779" s="183"/>
      <c r="C779" s="174" t="s">
        <v>789</v>
      </c>
      <c r="D779" s="150" t="s">
        <v>465</v>
      </c>
      <c r="E779" s="170" t="s">
        <v>369</v>
      </c>
      <c r="F779" s="99"/>
      <c r="G779" s="106">
        <v>71.650000000000006</v>
      </c>
      <c r="H779" s="117">
        <f>G779+2.75</f>
        <v>74.400000000000006</v>
      </c>
      <c r="I779" s="99"/>
      <c r="J779" s="99" t="s">
        <v>428</v>
      </c>
      <c r="K779" s="107">
        <v>44773</v>
      </c>
      <c r="L779" s="233" t="s">
        <v>791</v>
      </c>
      <c r="M779" s="99"/>
      <c r="N779" s="108" t="s">
        <v>443</v>
      </c>
      <c r="O779" s="71"/>
      <c r="P779" s="71"/>
      <c r="Q779" s="71"/>
      <c r="R779" s="71"/>
      <c r="S779" s="71"/>
      <c r="T779" s="71"/>
      <c r="U779" s="71"/>
      <c r="V779" s="71"/>
      <c r="W779" s="71"/>
      <c r="X779" s="71"/>
      <c r="Y779" s="71"/>
      <c r="Z779" s="71"/>
      <c r="AA779" s="71"/>
      <c r="AB779" s="71"/>
      <c r="AC779" s="71"/>
      <c r="AD779" s="71"/>
      <c r="AE779" s="71"/>
      <c r="AF779" s="71"/>
      <c r="AG779" s="71"/>
      <c r="AH779" s="71"/>
      <c r="AI779" s="71"/>
      <c r="AJ779" s="71"/>
      <c r="AK779" s="71"/>
      <c r="AL779" s="71"/>
      <c r="AM779" s="71"/>
      <c r="AN779" s="71"/>
      <c r="AO779" s="71"/>
      <c r="AP779" s="71"/>
      <c r="AQ779" s="71"/>
      <c r="AR779" s="71"/>
      <c r="AS779" s="71"/>
      <c r="AT779" s="71"/>
    </row>
    <row r="780" spans="1:46" ht="15.65" hidden="1" customHeight="1" x14ac:dyDescent="0.35">
      <c r="A780" s="175" t="s">
        <v>414</v>
      </c>
      <c r="B780" s="175"/>
      <c r="C780" s="167" t="s">
        <v>415</v>
      </c>
      <c r="D780" s="167" t="s">
        <v>427</v>
      </c>
      <c r="E780" s="167" t="s">
        <v>369</v>
      </c>
      <c r="F780" s="99"/>
      <c r="G780" s="176">
        <v>251.75</v>
      </c>
      <c r="H780" s="176">
        <f>G780+2.75</f>
        <v>254.5</v>
      </c>
      <c r="I780" s="177"/>
      <c r="J780" s="150" t="s">
        <v>509</v>
      </c>
      <c r="K780" s="178">
        <v>44043</v>
      </c>
      <c r="L780" s="150" t="s">
        <v>427</v>
      </c>
      <c r="M780" s="99"/>
      <c r="N780" s="99" t="s">
        <v>427</v>
      </c>
    </row>
    <row r="781" spans="1:46" ht="15.65" hidden="1" customHeight="1" x14ac:dyDescent="0.35">
      <c r="A781" s="188" t="s">
        <v>414</v>
      </c>
      <c r="B781" s="188"/>
      <c r="C781" s="169" t="s">
        <v>415</v>
      </c>
      <c r="D781" s="150" t="s">
        <v>427</v>
      </c>
      <c r="E781" s="150" t="s">
        <v>369</v>
      </c>
      <c r="F781" s="99"/>
      <c r="G781" s="106">
        <v>251.75</v>
      </c>
      <c r="H781" s="117">
        <v>254.5</v>
      </c>
      <c r="I781" s="190"/>
      <c r="J781" s="99" t="s">
        <v>509</v>
      </c>
      <c r="K781" s="107">
        <v>44561</v>
      </c>
      <c r="L781" s="169" t="s">
        <v>792</v>
      </c>
      <c r="M781" s="99"/>
      <c r="N781" s="108" t="s">
        <v>443</v>
      </c>
    </row>
    <row r="782" spans="1:46" s="89" customFormat="1" ht="15.65" hidden="1" customHeight="1" x14ac:dyDescent="0.35">
      <c r="A782" s="188" t="s">
        <v>414</v>
      </c>
      <c r="B782" s="188"/>
      <c r="C782" s="169" t="s">
        <v>415</v>
      </c>
      <c r="D782" s="150" t="s">
        <v>444</v>
      </c>
      <c r="E782" s="150" t="s">
        <v>369</v>
      </c>
      <c r="F782" s="99"/>
      <c r="G782" s="106">
        <v>251.75</v>
      </c>
      <c r="H782" s="117">
        <v>254.5</v>
      </c>
      <c r="I782" s="190"/>
      <c r="J782" s="99" t="s">
        <v>509</v>
      </c>
      <c r="K782" s="107">
        <v>44926</v>
      </c>
      <c r="L782" s="169"/>
      <c r="M782" s="99"/>
      <c r="N782" s="108" t="s">
        <v>418</v>
      </c>
      <c r="O782" s="71"/>
      <c r="P782" s="71"/>
      <c r="Q782" s="71"/>
      <c r="R782" s="71"/>
      <c r="S782" s="71"/>
      <c r="T782" s="71"/>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c r="AS782" s="71"/>
      <c r="AT782" s="71"/>
    </row>
    <row r="783" spans="1:46" ht="15.65" hidden="1" customHeight="1" x14ac:dyDescent="0.35">
      <c r="A783" s="180" t="s">
        <v>423</v>
      </c>
      <c r="B783" s="180"/>
      <c r="C783" s="181" t="s">
        <v>424</v>
      </c>
      <c r="D783" s="167" t="s">
        <v>427</v>
      </c>
      <c r="E783" s="167" t="s">
        <v>369</v>
      </c>
      <c r="F783" s="174"/>
      <c r="G783" s="171">
        <v>117.85</v>
      </c>
      <c r="H783" s="171">
        <f t="shared" ref="H783:H801" si="10">G783+2.75</f>
        <v>120.6</v>
      </c>
      <c r="I783" s="172"/>
      <c r="J783" s="99" t="s">
        <v>428</v>
      </c>
      <c r="K783" s="107">
        <v>44561</v>
      </c>
      <c r="L783" s="99"/>
      <c r="M783" s="99"/>
      <c r="N783" s="99" t="s">
        <v>457</v>
      </c>
    </row>
    <row r="784" spans="1:46" ht="15.65" hidden="1" customHeight="1" x14ac:dyDescent="0.35">
      <c r="A784" s="180" t="s">
        <v>69</v>
      </c>
      <c r="B784" s="180"/>
      <c r="C784" s="169" t="s">
        <v>70</v>
      </c>
      <c r="D784" s="170" t="s">
        <v>427</v>
      </c>
      <c r="E784" s="170" t="s">
        <v>369</v>
      </c>
      <c r="F784" s="174"/>
      <c r="G784" s="171">
        <v>67.25</v>
      </c>
      <c r="H784" s="171">
        <f t="shared" si="10"/>
        <v>70</v>
      </c>
      <c r="I784" s="172"/>
      <c r="J784" s="99" t="s">
        <v>509</v>
      </c>
      <c r="K784" s="107">
        <v>44196</v>
      </c>
      <c r="L784" s="99"/>
      <c r="M784" s="99"/>
      <c r="N784" s="173" t="s">
        <v>429</v>
      </c>
    </row>
    <row r="785" spans="1:46" s="89" customFormat="1" ht="15.65" hidden="1" customHeight="1" x14ac:dyDescent="0.35">
      <c r="A785" s="180" t="s">
        <v>69</v>
      </c>
      <c r="B785" s="180"/>
      <c r="C785" s="169" t="s">
        <v>70</v>
      </c>
      <c r="D785" s="170" t="s">
        <v>427</v>
      </c>
      <c r="E785" s="170" t="s">
        <v>369</v>
      </c>
      <c r="F785" s="174"/>
      <c r="G785" s="171">
        <v>67.25</v>
      </c>
      <c r="H785" s="171">
        <f t="shared" si="10"/>
        <v>70</v>
      </c>
      <c r="I785" s="172"/>
      <c r="J785" s="99" t="s">
        <v>428</v>
      </c>
      <c r="K785" s="107">
        <v>44196</v>
      </c>
      <c r="L785" s="99"/>
      <c r="M785" s="99"/>
      <c r="N785" s="173" t="s">
        <v>429</v>
      </c>
      <c r="O785" s="71"/>
      <c r="P785" s="71"/>
      <c r="Q785" s="71"/>
      <c r="R785" s="71"/>
      <c r="S785" s="71"/>
      <c r="T785" s="71"/>
      <c r="U785" s="71"/>
      <c r="V785" s="71"/>
      <c r="W785" s="71"/>
      <c r="X785" s="71"/>
      <c r="Y785" s="71"/>
      <c r="Z785" s="71"/>
      <c r="AA785" s="71"/>
      <c r="AB785" s="71"/>
      <c r="AC785" s="71"/>
      <c r="AD785" s="71"/>
      <c r="AE785" s="71"/>
      <c r="AF785" s="71"/>
      <c r="AG785" s="71"/>
      <c r="AH785" s="71"/>
      <c r="AI785" s="71"/>
      <c r="AJ785" s="71"/>
      <c r="AK785" s="71"/>
      <c r="AL785" s="71"/>
      <c r="AM785" s="71"/>
      <c r="AN785" s="71"/>
      <c r="AO785" s="71"/>
      <c r="AP785" s="71"/>
      <c r="AQ785" s="71"/>
      <c r="AR785" s="71"/>
      <c r="AS785" s="71"/>
      <c r="AT785" s="71"/>
    </row>
    <row r="786" spans="1:46" s="89" customFormat="1" ht="15.65" hidden="1" customHeight="1" x14ac:dyDescent="0.35">
      <c r="A786" s="180" t="s">
        <v>793</v>
      </c>
      <c r="B786" s="180"/>
      <c r="C786" s="169" t="s">
        <v>794</v>
      </c>
      <c r="D786" s="170" t="s">
        <v>427</v>
      </c>
      <c r="E786" s="170" t="s">
        <v>369</v>
      </c>
      <c r="F786" s="174"/>
      <c r="G786" s="171">
        <v>59.75</v>
      </c>
      <c r="H786" s="209">
        <f t="shared" si="10"/>
        <v>62.5</v>
      </c>
      <c r="I786" s="234"/>
      <c r="J786" s="99" t="s">
        <v>428</v>
      </c>
      <c r="K786" s="107">
        <v>44561</v>
      </c>
      <c r="L786" s="99"/>
      <c r="M786" s="99" t="s">
        <v>104</v>
      </c>
      <c r="N786" s="235" t="s">
        <v>795</v>
      </c>
      <c r="O786" s="71"/>
      <c r="P786" s="71"/>
      <c r="Q786" s="71"/>
      <c r="R786" s="71"/>
      <c r="S786" s="71"/>
      <c r="T786" s="71"/>
      <c r="U786" s="71"/>
      <c r="V786" s="71"/>
      <c r="W786" s="71"/>
      <c r="X786" s="71"/>
      <c r="Y786" s="71"/>
      <c r="Z786" s="71"/>
      <c r="AA786" s="71"/>
      <c r="AB786" s="71"/>
      <c r="AC786" s="71"/>
      <c r="AD786" s="71"/>
      <c r="AE786" s="71"/>
      <c r="AF786" s="71"/>
      <c r="AG786" s="71"/>
      <c r="AH786" s="71"/>
      <c r="AI786" s="71"/>
      <c r="AJ786" s="71"/>
      <c r="AK786" s="71"/>
      <c r="AL786" s="71"/>
      <c r="AM786" s="71"/>
      <c r="AN786" s="71"/>
      <c r="AO786" s="71"/>
      <c r="AP786" s="71"/>
      <c r="AQ786" s="71"/>
      <c r="AR786" s="71"/>
      <c r="AS786" s="71"/>
      <c r="AT786" s="71"/>
    </row>
    <row r="787" spans="1:46" s="89" customFormat="1" ht="15.65" hidden="1" customHeight="1" x14ac:dyDescent="0.35">
      <c r="A787" s="180" t="s">
        <v>793</v>
      </c>
      <c r="B787" s="180"/>
      <c r="C787" s="169" t="s">
        <v>794</v>
      </c>
      <c r="D787" s="170" t="s">
        <v>427</v>
      </c>
      <c r="E787" s="170" t="s">
        <v>369</v>
      </c>
      <c r="F787" s="174"/>
      <c r="G787" s="171">
        <v>59.75</v>
      </c>
      <c r="H787" s="209">
        <f t="shared" si="10"/>
        <v>62.5</v>
      </c>
      <c r="I787" s="234"/>
      <c r="J787" s="99" t="s">
        <v>449</v>
      </c>
      <c r="K787" s="107">
        <v>44196</v>
      </c>
      <c r="L787" s="99"/>
      <c r="M787" s="99" t="s">
        <v>104</v>
      </c>
      <c r="N787" s="235" t="s">
        <v>429</v>
      </c>
      <c r="O787" s="71"/>
      <c r="P787" s="71"/>
      <c r="Q787" s="71"/>
      <c r="R787" s="71"/>
      <c r="S787" s="71"/>
      <c r="T787" s="71"/>
      <c r="U787" s="71"/>
      <c r="V787" s="71"/>
      <c r="W787" s="71"/>
      <c r="X787" s="71"/>
      <c r="Y787" s="71"/>
      <c r="Z787" s="71"/>
      <c r="AA787" s="71"/>
      <c r="AB787" s="71"/>
      <c r="AC787" s="71"/>
      <c r="AD787" s="71"/>
      <c r="AE787" s="71"/>
      <c r="AF787" s="71"/>
      <c r="AG787" s="71"/>
      <c r="AH787" s="71"/>
      <c r="AI787" s="71"/>
      <c r="AJ787" s="71"/>
      <c r="AK787" s="71"/>
      <c r="AL787" s="71"/>
      <c r="AM787" s="71"/>
      <c r="AN787" s="71"/>
      <c r="AO787" s="71"/>
      <c r="AP787" s="71"/>
      <c r="AQ787" s="71"/>
      <c r="AR787" s="71"/>
      <c r="AS787" s="71"/>
      <c r="AT787" s="71"/>
    </row>
    <row r="788" spans="1:46" ht="15.65" hidden="1" customHeight="1" x14ac:dyDescent="0.35">
      <c r="A788" s="180" t="s">
        <v>793</v>
      </c>
      <c r="B788" s="180"/>
      <c r="C788" s="169" t="s">
        <v>794</v>
      </c>
      <c r="D788" s="170" t="s">
        <v>427</v>
      </c>
      <c r="E788" s="170" t="s">
        <v>369</v>
      </c>
      <c r="F788" s="174"/>
      <c r="G788" s="171">
        <v>59.75</v>
      </c>
      <c r="H788" s="209">
        <f t="shared" si="10"/>
        <v>62.5</v>
      </c>
      <c r="I788" s="234"/>
      <c r="J788" s="99" t="s">
        <v>449</v>
      </c>
      <c r="K788" s="107">
        <v>44561</v>
      </c>
      <c r="L788" s="169" t="s">
        <v>796</v>
      </c>
      <c r="M788" s="99" t="s">
        <v>104</v>
      </c>
      <c r="N788" s="235" t="s">
        <v>439</v>
      </c>
    </row>
    <row r="789" spans="1:46" ht="15.65" hidden="1" customHeight="1" x14ac:dyDescent="0.35">
      <c r="A789" s="183" t="s">
        <v>797</v>
      </c>
      <c r="B789" s="183"/>
      <c r="C789" s="184" t="s">
        <v>798</v>
      </c>
      <c r="D789" s="167" t="s">
        <v>427</v>
      </c>
      <c r="E789" s="150" t="s">
        <v>369</v>
      </c>
      <c r="F789" s="174"/>
      <c r="G789" s="185">
        <v>99.6</v>
      </c>
      <c r="H789" s="185">
        <f t="shared" si="10"/>
        <v>102.35</v>
      </c>
      <c r="I789" s="187"/>
      <c r="J789" s="99" t="s">
        <v>428</v>
      </c>
      <c r="K789" s="107">
        <v>44196</v>
      </c>
      <c r="L789" s="99"/>
      <c r="M789" s="99" t="s">
        <v>20</v>
      </c>
      <c r="N789" s="99" t="s">
        <v>429</v>
      </c>
    </row>
    <row r="790" spans="1:46" ht="15.65" hidden="1" customHeight="1" x14ac:dyDescent="0.35">
      <c r="A790" s="183" t="s">
        <v>797</v>
      </c>
      <c r="B790" s="183"/>
      <c r="C790" s="184" t="s">
        <v>798</v>
      </c>
      <c r="D790" s="167" t="s">
        <v>427</v>
      </c>
      <c r="E790" s="150" t="s">
        <v>369</v>
      </c>
      <c r="F790" s="174"/>
      <c r="G790" s="185">
        <v>99.6</v>
      </c>
      <c r="H790" s="185">
        <f t="shared" si="10"/>
        <v>102.35</v>
      </c>
      <c r="I790" s="187"/>
      <c r="J790" s="99" t="s">
        <v>509</v>
      </c>
      <c r="K790" s="107">
        <v>44561</v>
      </c>
      <c r="L790" s="99"/>
      <c r="M790" s="99" t="s">
        <v>20</v>
      </c>
      <c r="N790" s="99" t="s">
        <v>457</v>
      </c>
    </row>
    <row r="791" spans="1:46" s="89" customFormat="1" ht="15.65" hidden="1" customHeight="1" x14ac:dyDescent="0.35">
      <c r="A791" s="183" t="s">
        <v>797</v>
      </c>
      <c r="B791" s="183"/>
      <c r="C791" s="184" t="s">
        <v>798</v>
      </c>
      <c r="D791" s="167" t="s">
        <v>427</v>
      </c>
      <c r="E791" s="150" t="s">
        <v>369</v>
      </c>
      <c r="F791" s="174"/>
      <c r="G791" s="185">
        <v>99.6</v>
      </c>
      <c r="H791" s="185">
        <f t="shared" si="10"/>
        <v>102.35</v>
      </c>
      <c r="I791" s="187"/>
      <c r="J791" s="99" t="s">
        <v>449</v>
      </c>
      <c r="K791" s="107">
        <v>44561</v>
      </c>
      <c r="L791" s="99" t="s">
        <v>494</v>
      </c>
      <c r="M791" s="99" t="s">
        <v>20</v>
      </c>
      <c r="N791" s="217" t="s">
        <v>457</v>
      </c>
      <c r="O791" s="71"/>
      <c r="P791" s="71"/>
      <c r="Q791" s="71"/>
      <c r="R791" s="71"/>
      <c r="S791" s="71"/>
      <c r="T791" s="71"/>
      <c r="U791" s="71"/>
      <c r="V791" s="71"/>
      <c r="W791" s="71"/>
      <c r="X791" s="71"/>
      <c r="Y791" s="71"/>
      <c r="Z791" s="71"/>
      <c r="AA791" s="71"/>
      <c r="AB791" s="71"/>
      <c r="AC791" s="71"/>
      <c r="AD791" s="71"/>
      <c r="AE791" s="71"/>
      <c r="AF791" s="71"/>
      <c r="AG791" s="71"/>
      <c r="AH791" s="71"/>
      <c r="AI791" s="71"/>
      <c r="AJ791" s="71"/>
      <c r="AK791" s="71"/>
      <c r="AL791" s="71"/>
      <c r="AM791" s="71"/>
      <c r="AN791" s="71"/>
      <c r="AO791" s="71"/>
      <c r="AP791" s="71"/>
      <c r="AQ791" s="71"/>
      <c r="AR791" s="71"/>
      <c r="AS791" s="71"/>
      <c r="AT791" s="71"/>
    </row>
    <row r="792" spans="1:46" s="89" customFormat="1" ht="15.65" hidden="1" customHeight="1" x14ac:dyDescent="0.35">
      <c r="A792" s="183" t="s">
        <v>797</v>
      </c>
      <c r="B792" s="183"/>
      <c r="C792" s="184" t="s">
        <v>798</v>
      </c>
      <c r="D792" s="167" t="s">
        <v>444</v>
      </c>
      <c r="E792" s="150" t="s">
        <v>369</v>
      </c>
      <c r="F792" s="174"/>
      <c r="G792" s="185">
        <v>99.6</v>
      </c>
      <c r="H792" s="185">
        <f t="shared" si="10"/>
        <v>102.35</v>
      </c>
      <c r="I792" s="187"/>
      <c r="J792" s="99" t="s">
        <v>449</v>
      </c>
      <c r="K792" s="107">
        <v>44926</v>
      </c>
      <c r="L792" s="99"/>
      <c r="M792" s="99"/>
      <c r="N792" s="217" t="s">
        <v>458</v>
      </c>
      <c r="O792" s="71"/>
      <c r="P792" s="71"/>
      <c r="Q792" s="71"/>
      <c r="R792" s="71"/>
      <c r="S792" s="71"/>
      <c r="T792" s="71"/>
      <c r="U792" s="71"/>
      <c r="V792" s="71"/>
      <c r="W792" s="71"/>
      <c r="X792" s="71"/>
      <c r="Y792" s="71"/>
      <c r="Z792" s="71"/>
      <c r="AA792" s="71"/>
      <c r="AB792" s="71"/>
      <c r="AC792" s="71"/>
      <c r="AD792" s="71"/>
      <c r="AE792" s="71"/>
      <c r="AF792" s="71"/>
      <c r="AG792" s="71"/>
      <c r="AH792" s="71"/>
      <c r="AI792" s="71"/>
      <c r="AJ792" s="71"/>
      <c r="AK792" s="71"/>
      <c r="AL792" s="71"/>
      <c r="AM792" s="71"/>
      <c r="AN792" s="71"/>
      <c r="AO792" s="71"/>
      <c r="AP792" s="71"/>
      <c r="AQ792" s="71"/>
      <c r="AR792" s="71"/>
      <c r="AS792" s="71"/>
      <c r="AT792" s="71"/>
    </row>
    <row r="793" spans="1:46" ht="15.65" hidden="1" customHeight="1" x14ac:dyDescent="0.35">
      <c r="A793" s="183" t="s">
        <v>797</v>
      </c>
      <c r="B793" s="183"/>
      <c r="C793" s="184" t="s">
        <v>798</v>
      </c>
      <c r="D793" s="167" t="s">
        <v>444</v>
      </c>
      <c r="E793" s="150" t="s">
        <v>369</v>
      </c>
      <c r="F793" s="174"/>
      <c r="G793" s="185">
        <v>99.6</v>
      </c>
      <c r="H793" s="185">
        <f t="shared" si="10"/>
        <v>102.35</v>
      </c>
      <c r="I793" s="187"/>
      <c r="J793" s="99" t="s">
        <v>428</v>
      </c>
      <c r="K793" s="107">
        <v>44926</v>
      </c>
      <c r="L793" s="99"/>
      <c r="M793" s="99"/>
      <c r="N793" s="99" t="s">
        <v>418</v>
      </c>
    </row>
    <row r="794" spans="1:46" ht="15.65" hidden="1" customHeight="1" x14ac:dyDescent="0.35">
      <c r="A794" s="183" t="s">
        <v>797</v>
      </c>
      <c r="B794" s="183"/>
      <c r="C794" s="184" t="s">
        <v>798</v>
      </c>
      <c r="D794" s="167" t="s">
        <v>444</v>
      </c>
      <c r="E794" s="150" t="s">
        <v>369</v>
      </c>
      <c r="F794" s="174"/>
      <c r="G794" s="185">
        <v>99.6</v>
      </c>
      <c r="H794" s="185">
        <f t="shared" si="10"/>
        <v>102.35</v>
      </c>
      <c r="I794" s="187"/>
      <c r="J794" s="99" t="s">
        <v>509</v>
      </c>
      <c r="K794" s="107">
        <v>44926</v>
      </c>
      <c r="L794" s="99"/>
      <c r="M794" s="99"/>
      <c r="N794" s="99" t="s">
        <v>418</v>
      </c>
    </row>
    <row r="795" spans="1:46" s="89" customFormat="1" ht="15.65" hidden="1" customHeight="1" x14ac:dyDescent="0.35">
      <c r="A795" s="188" t="s">
        <v>87</v>
      </c>
      <c r="B795" s="188"/>
      <c r="C795" s="169" t="s">
        <v>799</v>
      </c>
      <c r="D795" s="150" t="s">
        <v>444</v>
      </c>
      <c r="E795" s="150" t="s">
        <v>369</v>
      </c>
      <c r="F795" s="174"/>
      <c r="G795" s="106">
        <v>396.65</v>
      </c>
      <c r="H795" s="117">
        <f t="shared" si="10"/>
        <v>399.4</v>
      </c>
      <c r="I795" s="99"/>
      <c r="J795" s="99" t="s">
        <v>509</v>
      </c>
      <c r="K795" s="107">
        <v>44926</v>
      </c>
      <c r="L795" s="169" t="s">
        <v>800</v>
      </c>
      <c r="M795" s="99"/>
      <c r="N795" s="108" t="s">
        <v>443</v>
      </c>
      <c r="O795" s="71"/>
      <c r="P795" s="71"/>
      <c r="Q795" s="71"/>
      <c r="R795" s="71"/>
      <c r="S795" s="71"/>
      <c r="T795" s="71"/>
      <c r="U795" s="71"/>
      <c r="V795" s="71"/>
      <c r="W795" s="71"/>
      <c r="X795" s="71"/>
      <c r="Y795" s="71"/>
      <c r="Z795" s="71"/>
      <c r="AA795" s="71"/>
      <c r="AB795" s="71"/>
      <c r="AC795" s="71"/>
      <c r="AD795" s="71"/>
      <c r="AE795" s="71"/>
      <c r="AF795" s="71"/>
      <c r="AG795" s="71"/>
      <c r="AH795" s="71"/>
      <c r="AI795" s="71"/>
      <c r="AJ795" s="71"/>
      <c r="AK795" s="71"/>
      <c r="AL795" s="71"/>
      <c r="AM795" s="71"/>
      <c r="AN795" s="71"/>
      <c r="AO795" s="71"/>
      <c r="AP795" s="71"/>
      <c r="AQ795" s="71"/>
      <c r="AR795" s="71"/>
      <c r="AS795" s="71"/>
      <c r="AT795" s="71"/>
    </row>
    <row r="796" spans="1:46" s="89" customFormat="1" ht="15.65" hidden="1" customHeight="1" x14ac:dyDescent="0.35">
      <c r="A796" s="180" t="s">
        <v>801</v>
      </c>
      <c r="B796" s="180"/>
      <c r="C796" s="181" t="s">
        <v>802</v>
      </c>
      <c r="D796" s="167" t="s">
        <v>427</v>
      </c>
      <c r="E796" s="150" t="s">
        <v>369</v>
      </c>
      <c r="F796" s="174"/>
      <c r="G796" s="171">
        <v>217.9</v>
      </c>
      <c r="H796" s="171">
        <f t="shared" si="10"/>
        <v>220.65</v>
      </c>
      <c r="I796" s="172"/>
      <c r="J796" s="99" t="s">
        <v>428</v>
      </c>
      <c r="K796" s="107">
        <v>44561</v>
      </c>
      <c r="L796" s="99"/>
      <c r="M796" s="99"/>
      <c r="N796" s="99" t="s">
        <v>457</v>
      </c>
      <c r="O796" s="71"/>
      <c r="P796" s="71"/>
      <c r="Q796" s="71"/>
      <c r="R796" s="71"/>
      <c r="S796" s="71"/>
      <c r="T796" s="71"/>
      <c r="U796" s="71"/>
      <c r="V796" s="71"/>
      <c r="W796" s="71"/>
      <c r="X796" s="71"/>
      <c r="Y796" s="71"/>
      <c r="Z796" s="71"/>
      <c r="AA796" s="71"/>
      <c r="AB796" s="71"/>
      <c r="AC796" s="71"/>
      <c r="AD796" s="71"/>
      <c r="AE796" s="71"/>
      <c r="AF796" s="71"/>
      <c r="AG796" s="71"/>
      <c r="AH796" s="71"/>
      <c r="AI796" s="71"/>
      <c r="AJ796" s="71"/>
      <c r="AK796" s="71"/>
      <c r="AL796" s="71"/>
      <c r="AM796" s="71"/>
      <c r="AN796" s="71"/>
      <c r="AO796" s="71"/>
      <c r="AP796" s="71"/>
      <c r="AQ796" s="71"/>
      <c r="AR796" s="71"/>
      <c r="AS796" s="71"/>
      <c r="AT796" s="71"/>
    </row>
    <row r="797" spans="1:46" ht="15.65" hidden="1" customHeight="1" x14ac:dyDescent="0.35">
      <c r="A797" s="204" t="s">
        <v>803</v>
      </c>
      <c r="B797" s="204"/>
      <c r="C797" s="169" t="s">
        <v>804</v>
      </c>
      <c r="D797" s="150" t="s">
        <v>427</v>
      </c>
      <c r="E797" s="150" t="s">
        <v>369</v>
      </c>
      <c r="F797" s="174"/>
      <c r="G797" s="117">
        <v>302</v>
      </c>
      <c r="H797" s="117">
        <f t="shared" si="10"/>
        <v>304.75</v>
      </c>
      <c r="I797" s="236"/>
      <c r="J797" s="99" t="s">
        <v>449</v>
      </c>
      <c r="K797" s="107">
        <v>44561</v>
      </c>
      <c r="L797" s="169" t="s">
        <v>805</v>
      </c>
      <c r="M797" s="99" t="s">
        <v>104</v>
      </c>
      <c r="N797" s="108" t="s">
        <v>628</v>
      </c>
    </row>
    <row r="798" spans="1:46" ht="15.65" hidden="1" customHeight="1" x14ac:dyDescent="0.35">
      <c r="A798" s="188" t="s">
        <v>803</v>
      </c>
      <c r="B798" s="188"/>
      <c r="C798" s="169" t="s">
        <v>804</v>
      </c>
      <c r="D798" s="150" t="s">
        <v>444</v>
      </c>
      <c r="E798" s="150" t="s">
        <v>369</v>
      </c>
      <c r="F798" s="174"/>
      <c r="G798" s="106">
        <v>235.01</v>
      </c>
      <c r="H798" s="106">
        <f t="shared" si="10"/>
        <v>237.76</v>
      </c>
      <c r="I798" s="99"/>
      <c r="J798" s="99" t="s">
        <v>437</v>
      </c>
      <c r="K798" s="107">
        <v>44926</v>
      </c>
      <c r="L798" s="169" t="s">
        <v>806</v>
      </c>
      <c r="M798" s="99" t="s">
        <v>104</v>
      </c>
      <c r="N798" s="108" t="s">
        <v>443</v>
      </c>
    </row>
    <row r="799" spans="1:46" s="89" customFormat="1" ht="15.65" hidden="1" customHeight="1" x14ac:dyDescent="0.35">
      <c r="A799" s="204" t="s">
        <v>803</v>
      </c>
      <c r="B799" s="204"/>
      <c r="C799" s="169" t="s">
        <v>804</v>
      </c>
      <c r="D799" s="150" t="s">
        <v>444</v>
      </c>
      <c r="E799" s="150" t="s">
        <v>369</v>
      </c>
      <c r="F799" s="174"/>
      <c r="G799" s="117">
        <v>302</v>
      </c>
      <c r="H799" s="117">
        <f t="shared" si="10"/>
        <v>304.75</v>
      </c>
      <c r="I799" s="236"/>
      <c r="J799" s="99" t="s">
        <v>449</v>
      </c>
      <c r="K799" s="107">
        <v>44926</v>
      </c>
      <c r="L799" s="169"/>
      <c r="M799" s="99" t="s">
        <v>104</v>
      </c>
      <c r="N799" s="108" t="s">
        <v>458</v>
      </c>
      <c r="O799" s="71"/>
      <c r="P799" s="71"/>
      <c r="Q799" s="71"/>
      <c r="R799" s="71"/>
      <c r="S799" s="71"/>
      <c r="T799" s="71"/>
      <c r="U799" s="71"/>
      <c r="V799" s="71"/>
      <c r="W799" s="71"/>
      <c r="X799" s="71"/>
      <c r="Y799" s="71"/>
      <c r="Z799" s="71"/>
      <c r="AA799" s="71"/>
      <c r="AB799" s="71"/>
      <c r="AC799" s="71"/>
      <c r="AD799" s="71"/>
      <c r="AE799" s="71"/>
      <c r="AF799" s="71"/>
      <c r="AG799" s="71"/>
      <c r="AH799" s="71"/>
      <c r="AI799" s="71"/>
      <c r="AJ799" s="71"/>
      <c r="AK799" s="71"/>
      <c r="AL799" s="71"/>
      <c r="AM799" s="71"/>
      <c r="AN799" s="71"/>
      <c r="AO799" s="71"/>
      <c r="AP799" s="71"/>
      <c r="AQ799" s="71"/>
      <c r="AR799" s="71"/>
      <c r="AS799" s="71"/>
      <c r="AT799" s="71"/>
    </row>
    <row r="800" spans="1:46" ht="20.5" hidden="1" customHeight="1" x14ac:dyDescent="0.35">
      <c r="A800" s="175" t="s">
        <v>807</v>
      </c>
      <c r="B800" s="175"/>
      <c r="C800" s="167" t="s">
        <v>808</v>
      </c>
      <c r="D800" s="167" t="s">
        <v>427</v>
      </c>
      <c r="E800" s="167" t="s">
        <v>369</v>
      </c>
      <c r="F800" s="174"/>
      <c r="G800" s="176">
        <v>66.599999999999994</v>
      </c>
      <c r="H800" s="176">
        <f t="shared" si="10"/>
        <v>69.349999999999994</v>
      </c>
      <c r="I800" s="177"/>
      <c r="J800" s="150" t="s">
        <v>432</v>
      </c>
      <c r="K800" s="237" t="s">
        <v>809</v>
      </c>
      <c r="L800" s="150" t="s">
        <v>494</v>
      </c>
      <c r="M800" s="150" t="s">
        <v>104</v>
      </c>
      <c r="N800" s="150" t="s">
        <v>429</v>
      </c>
    </row>
    <row r="801" spans="1:46" s="89" customFormat="1" ht="15.65" hidden="1" customHeight="1" x14ac:dyDescent="0.35">
      <c r="A801" s="175" t="s">
        <v>810</v>
      </c>
      <c r="B801" s="175"/>
      <c r="C801" s="167" t="s">
        <v>811</v>
      </c>
      <c r="D801" s="167" t="s">
        <v>427</v>
      </c>
      <c r="E801" s="167" t="s">
        <v>369</v>
      </c>
      <c r="F801" s="174"/>
      <c r="G801" s="176">
        <v>181.5</v>
      </c>
      <c r="H801" s="176">
        <f t="shared" si="10"/>
        <v>184.25</v>
      </c>
      <c r="I801" s="177"/>
      <c r="J801" s="150" t="s">
        <v>428</v>
      </c>
      <c r="K801" s="178">
        <v>44196</v>
      </c>
      <c r="L801" s="150"/>
      <c r="M801" s="150" t="s">
        <v>104</v>
      </c>
      <c r="N801" s="150" t="s">
        <v>429</v>
      </c>
      <c r="O801" s="71"/>
      <c r="P801" s="71"/>
      <c r="Q801" s="71"/>
      <c r="R801" s="71"/>
      <c r="S801" s="71"/>
      <c r="T801" s="71"/>
      <c r="U801" s="71"/>
      <c r="V801" s="71"/>
      <c r="W801" s="71"/>
      <c r="X801" s="71"/>
      <c r="Y801" s="71"/>
      <c r="Z801" s="71"/>
      <c r="AA801" s="71"/>
      <c r="AB801" s="71"/>
      <c r="AC801" s="71"/>
      <c r="AD801" s="71"/>
      <c r="AE801" s="71"/>
      <c r="AF801" s="71"/>
      <c r="AG801" s="71"/>
      <c r="AH801" s="71"/>
      <c r="AI801" s="71"/>
      <c r="AJ801" s="71"/>
      <c r="AK801" s="71"/>
      <c r="AL801" s="71"/>
      <c r="AM801" s="71"/>
      <c r="AN801" s="71"/>
      <c r="AO801" s="71"/>
      <c r="AP801" s="71"/>
      <c r="AQ801" s="71"/>
      <c r="AR801" s="71"/>
      <c r="AS801" s="71"/>
      <c r="AT801" s="71"/>
    </row>
    <row r="802" spans="1:46" s="89" customFormat="1" ht="15.65" hidden="1" customHeight="1" x14ac:dyDescent="0.35">
      <c r="A802" s="180" t="s">
        <v>810</v>
      </c>
      <c r="B802" s="180"/>
      <c r="C802" s="181" t="s">
        <v>811</v>
      </c>
      <c r="D802" s="167" t="s">
        <v>427</v>
      </c>
      <c r="E802" s="167" t="s">
        <v>369</v>
      </c>
      <c r="F802" s="174"/>
      <c r="G802" s="171">
        <v>185</v>
      </c>
      <c r="H802" s="106">
        <v>187.75</v>
      </c>
      <c r="I802" s="99"/>
      <c r="J802" s="107" t="s">
        <v>552</v>
      </c>
      <c r="K802" s="107">
        <v>44561</v>
      </c>
      <c r="L802" s="99"/>
      <c r="M802" s="99" t="s">
        <v>104</v>
      </c>
      <c r="N802" s="173" t="s">
        <v>457</v>
      </c>
      <c r="O802" s="71"/>
      <c r="P802" s="71"/>
      <c r="Q802" s="71"/>
      <c r="R802" s="71"/>
      <c r="S802" s="71"/>
      <c r="T802" s="71"/>
      <c r="U802" s="71"/>
      <c r="V802" s="71"/>
      <c r="W802" s="71"/>
      <c r="X802" s="71"/>
      <c r="Y802" s="71"/>
      <c r="Z802" s="71"/>
      <c r="AA802" s="71"/>
      <c r="AB802" s="71"/>
      <c r="AC802" s="71"/>
      <c r="AD802" s="71"/>
      <c r="AE802" s="71"/>
      <c r="AF802" s="71"/>
      <c r="AG802" s="71"/>
      <c r="AH802" s="71"/>
      <c r="AI802" s="71"/>
      <c r="AJ802" s="71"/>
      <c r="AK802" s="71"/>
      <c r="AL802" s="71"/>
      <c r="AM802" s="71"/>
      <c r="AN802" s="71"/>
      <c r="AO802" s="71"/>
      <c r="AP802" s="71"/>
      <c r="AQ802" s="71"/>
      <c r="AR802" s="71"/>
      <c r="AS802" s="71"/>
      <c r="AT802" s="71"/>
    </row>
    <row r="803" spans="1:46" s="89" customFormat="1" ht="15.65" hidden="1" customHeight="1" x14ac:dyDescent="0.35">
      <c r="A803" s="183" t="s">
        <v>810</v>
      </c>
      <c r="B803" s="183"/>
      <c r="C803" s="184" t="s">
        <v>811</v>
      </c>
      <c r="D803" s="167" t="s">
        <v>427</v>
      </c>
      <c r="E803" s="167" t="s">
        <v>369</v>
      </c>
      <c r="F803" s="174"/>
      <c r="G803" s="185">
        <v>181.5</v>
      </c>
      <c r="H803" s="185">
        <f>G803+2.75</f>
        <v>184.25</v>
      </c>
      <c r="I803" s="187"/>
      <c r="J803" s="99" t="s">
        <v>428</v>
      </c>
      <c r="K803" s="107">
        <v>44561</v>
      </c>
      <c r="L803" s="169" t="s">
        <v>812</v>
      </c>
      <c r="M803" s="99" t="s">
        <v>104</v>
      </c>
      <c r="N803" s="99" t="s">
        <v>443</v>
      </c>
      <c r="O803" s="71"/>
      <c r="P803" s="71"/>
      <c r="Q803" s="71"/>
      <c r="R803" s="71"/>
      <c r="S803" s="71"/>
      <c r="T803" s="71"/>
      <c r="U803" s="71"/>
      <c r="V803" s="71"/>
      <c r="W803" s="71"/>
      <c r="X803" s="71"/>
      <c r="Y803" s="71"/>
      <c r="Z803" s="71"/>
      <c r="AA803" s="71"/>
      <c r="AB803" s="71"/>
      <c r="AC803" s="71"/>
      <c r="AD803" s="71"/>
      <c r="AE803" s="71"/>
      <c r="AF803" s="71"/>
      <c r="AG803" s="71"/>
      <c r="AH803" s="71"/>
      <c r="AI803" s="71"/>
      <c r="AJ803" s="71"/>
      <c r="AK803" s="71"/>
      <c r="AL803" s="71"/>
      <c r="AM803" s="71"/>
      <c r="AN803" s="71"/>
      <c r="AO803" s="71"/>
      <c r="AP803" s="71"/>
      <c r="AQ803" s="71"/>
      <c r="AR803" s="71"/>
      <c r="AS803" s="71"/>
      <c r="AT803" s="71"/>
    </row>
    <row r="804" spans="1:46" ht="15.65" customHeight="1" x14ac:dyDescent="0.35">
      <c r="A804" s="180" t="s">
        <v>813</v>
      </c>
      <c r="B804" s="180"/>
      <c r="C804" s="181" t="s">
        <v>814</v>
      </c>
      <c r="D804" s="167" t="s">
        <v>427</v>
      </c>
      <c r="E804" s="167" t="s">
        <v>369</v>
      </c>
      <c r="F804" s="174"/>
      <c r="G804" s="171">
        <v>51.4</v>
      </c>
      <c r="H804" s="171">
        <f>G804+2.75</f>
        <v>54.15</v>
      </c>
      <c r="I804" s="172"/>
      <c r="J804" s="99" t="s">
        <v>428</v>
      </c>
      <c r="K804" s="107">
        <v>44561</v>
      </c>
      <c r="L804" s="99"/>
      <c r="M804" s="99"/>
      <c r="N804" s="169" t="s">
        <v>457</v>
      </c>
    </row>
    <row r="805" spans="1:46" ht="15.65" customHeight="1" x14ac:dyDescent="0.35">
      <c r="A805" s="188" t="s">
        <v>813</v>
      </c>
      <c r="B805" s="188"/>
      <c r="C805" s="169" t="s">
        <v>815</v>
      </c>
      <c r="D805" s="167" t="s">
        <v>427</v>
      </c>
      <c r="E805" s="167" t="s">
        <v>369</v>
      </c>
      <c r="F805" s="174"/>
      <c r="G805" s="117">
        <v>51.4</v>
      </c>
      <c r="H805" s="106">
        <v>54.15</v>
      </c>
      <c r="I805" s="99"/>
      <c r="J805" s="99" t="s">
        <v>509</v>
      </c>
      <c r="K805" s="107">
        <v>44561</v>
      </c>
      <c r="L805" s="169" t="s">
        <v>816</v>
      </c>
      <c r="M805" s="99"/>
      <c r="N805" s="108" t="s">
        <v>443</v>
      </c>
    </row>
    <row r="806" spans="1:46" ht="15.65" hidden="1" customHeight="1" x14ac:dyDescent="0.35">
      <c r="A806" s="175" t="s">
        <v>817</v>
      </c>
      <c r="B806" s="175"/>
      <c r="C806" s="167" t="s">
        <v>818</v>
      </c>
      <c r="D806" s="167" t="s">
        <v>427</v>
      </c>
      <c r="E806" s="167" t="s">
        <v>369</v>
      </c>
      <c r="F806" s="174"/>
      <c r="G806" s="176">
        <v>125.15</v>
      </c>
      <c r="H806" s="176">
        <f>G806+2.75</f>
        <v>127.9</v>
      </c>
      <c r="I806" s="177"/>
      <c r="J806" s="150" t="s">
        <v>428</v>
      </c>
      <c r="K806" s="178">
        <v>44196</v>
      </c>
      <c r="L806" s="150"/>
      <c r="M806" s="150" t="s">
        <v>20</v>
      </c>
      <c r="N806" s="179" t="s">
        <v>429</v>
      </c>
    </row>
    <row r="807" spans="1:46" ht="15.65" hidden="1" customHeight="1" x14ac:dyDescent="0.35">
      <c r="A807" s="180" t="s">
        <v>817</v>
      </c>
      <c r="B807" s="180"/>
      <c r="C807" s="181" t="s">
        <v>818</v>
      </c>
      <c r="D807" s="167" t="s">
        <v>427</v>
      </c>
      <c r="E807" s="167" t="s">
        <v>369</v>
      </c>
      <c r="F807" s="174"/>
      <c r="G807" s="171">
        <v>135</v>
      </c>
      <c r="H807" s="171">
        <v>137.75</v>
      </c>
      <c r="I807" s="172"/>
      <c r="J807" s="99" t="s">
        <v>437</v>
      </c>
      <c r="K807" s="107">
        <v>44196</v>
      </c>
      <c r="L807" s="99" t="s">
        <v>494</v>
      </c>
      <c r="M807" s="99" t="s">
        <v>20</v>
      </c>
      <c r="N807" s="182" t="s">
        <v>429</v>
      </c>
    </row>
    <row r="808" spans="1:46" ht="15.65" hidden="1" customHeight="1" x14ac:dyDescent="0.35">
      <c r="A808" s="175" t="s">
        <v>817</v>
      </c>
      <c r="B808" s="175"/>
      <c r="C808" s="167" t="s">
        <v>818</v>
      </c>
      <c r="D808" s="167" t="s">
        <v>427</v>
      </c>
      <c r="E808" s="167" t="s">
        <v>369</v>
      </c>
      <c r="F808" s="174"/>
      <c r="G808" s="176">
        <v>125.15</v>
      </c>
      <c r="H808" s="176">
        <f>G808+2.75</f>
        <v>127.9</v>
      </c>
      <c r="I808" s="177"/>
      <c r="J808" s="150" t="s">
        <v>428</v>
      </c>
      <c r="K808" s="178">
        <v>44439</v>
      </c>
      <c r="L808" s="170" t="s">
        <v>819</v>
      </c>
      <c r="M808" s="150" t="s">
        <v>20</v>
      </c>
      <c r="N808" s="179" t="s">
        <v>443</v>
      </c>
    </row>
    <row r="809" spans="1:46" ht="15.65" hidden="1" customHeight="1" x14ac:dyDescent="0.35">
      <c r="A809" s="175" t="s">
        <v>817</v>
      </c>
      <c r="B809" s="175"/>
      <c r="C809" s="167" t="s">
        <v>818</v>
      </c>
      <c r="D809" s="167" t="s">
        <v>427</v>
      </c>
      <c r="E809" s="167" t="s">
        <v>369</v>
      </c>
      <c r="F809" s="174"/>
      <c r="G809" s="176">
        <v>125.15</v>
      </c>
      <c r="H809" s="176">
        <f>G809+2.75</f>
        <v>127.9</v>
      </c>
      <c r="I809" s="177"/>
      <c r="J809" s="150" t="s">
        <v>428</v>
      </c>
      <c r="K809" s="178">
        <v>44561</v>
      </c>
      <c r="L809" s="170" t="s">
        <v>820</v>
      </c>
      <c r="M809" s="150" t="s">
        <v>20</v>
      </c>
      <c r="N809" s="179" t="s">
        <v>443</v>
      </c>
    </row>
    <row r="810" spans="1:46" s="89" customFormat="1" ht="15.65" hidden="1" customHeight="1" x14ac:dyDescent="0.35">
      <c r="A810" s="188" t="s">
        <v>821</v>
      </c>
      <c r="B810" s="188"/>
      <c r="C810" s="99" t="s">
        <v>822</v>
      </c>
      <c r="D810" s="150" t="s">
        <v>427</v>
      </c>
      <c r="E810" s="150" t="s">
        <v>369</v>
      </c>
      <c r="F810" s="174"/>
      <c r="G810" s="106" t="s">
        <v>513</v>
      </c>
      <c r="H810" s="106" t="s">
        <v>513</v>
      </c>
      <c r="I810" s="190">
        <v>12</v>
      </c>
      <c r="J810" s="99" t="s">
        <v>487</v>
      </c>
      <c r="K810" s="107">
        <v>44561</v>
      </c>
      <c r="L810" s="169" t="s">
        <v>823</v>
      </c>
      <c r="M810" s="99"/>
      <c r="N810" s="108" t="s">
        <v>443</v>
      </c>
      <c r="O810" s="71"/>
      <c r="P810" s="71"/>
      <c r="Q810" s="71"/>
      <c r="R810" s="71"/>
      <c r="S810" s="71"/>
      <c r="T810" s="71"/>
      <c r="U810" s="71"/>
      <c r="V810" s="71"/>
      <c r="W810" s="71"/>
      <c r="X810" s="71"/>
      <c r="Y810" s="71"/>
      <c r="Z810" s="71"/>
      <c r="AA810" s="71"/>
      <c r="AB810" s="71"/>
      <c r="AC810" s="71"/>
      <c r="AD810" s="71"/>
      <c r="AE810" s="71"/>
      <c r="AF810" s="71"/>
      <c r="AG810" s="71"/>
      <c r="AH810" s="71"/>
      <c r="AI810" s="71"/>
      <c r="AJ810" s="71"/>
      <c r="AK810" s="71"/>
      <c r="AL810" s="71"/>
      <c r="AM810" s="71"/>
      <c r="AN810" s="71"/>
      <c r="AO810" s="71"/>
      <c r="AP810" s="71"/>
      <c r="AQ810" s="71"/>
      <c r="AR810" s="71"/>
      <c r="AS810" s="71"/>
      <c r="AT810" s="71"/>
    </row>
    <row r="811" spans="1:46" ht="15.65" hidden="1" customHeight="1" x14ac:dyDescent="0.35">
      <c r="A811" s="188" t="s">
        <v>821</v>
      </c>
      <c r="B811" s="188"/>
      <c r="C811" s="99" t="s">
        <v>822</v>
      </c>
      <c r="D811" s="150" t="s">
        <v>444</v>
      </c>
      <c r="E811" s="150" t="s">
        <v>369</v>
      </c>
      <c r="F811" s="174"/>
      <c r="G811" s="106" t="s">
        <v>513</v>
      </c>
      <c r="H811" s="106" t="s">
        <v>513</v>
      </c>
      <c r="I811" s="190">
        <v>12</v>
      </c>
      <c r="J811" s="99" t="s">
        <v>487</v>
      </c>
      <c r="K811" s="107">
        <v>44926</v>
      </c>
      <c r="L811" s="169"/>
      <c r="M811" s="99"/>
      <c r="N811" s="108" t="s">
        <v>418</v>
      </c>
    </row>
    <row r="812" spans="1:46" s="89" customFormat="1" ht="15.65" hidden="1" customHeight="1" x14ac:dyDescent="0.35">
      <c r="A812" s="188" t="s">
        <v>824</v>
      </c>
      <c r="B812" s="188"/>
      <c r="C812" s="99" t="s">
        <v>825</v>
      </c>
      <c r="D812" s="150" t="s">
        <v>427</v>
      </c>
      <c r="E812" s="150" t="s">
        <v>369</v>
      </c>
      <c r="F812" s="174"/>
      <c r="G812" s="106" t="s">
        <v>513</v>
      </c>
      <c r="H812" s="106" t="s">
        <v>513</v>
      </c>
      <c r="I812" s="190">
        <v>100.3</v>
      </c>
      <c r="J812" s="99" t="s">
        <v>428</v>
      </c>
      <c r="K812" s="107">
        <v>44561</v>
      </c>
      <c r="L812" s="169" t="s">
        <v>826</v>
      </c>
      <c r="M812" s="99"/>
      <c r="N812" s="108" t="s">
        <v>443</v>
      </c>
      <c r="O812" s="71"/>
      <c r="P812" s="71"/>
      <c r="Q812" s="71"/>
      <c r="R812" s="71"/>
      <c r="S812" s="71"/>
      <c r="T812" s="71"/>
      <c r="U812" s="71"/>
      <c r="V812" s="71"/>
      <c r="W812" s="71"/>
      <c r="X812" s="71"/>
      <c r="Y812" s="71"/>
      <c r="Z812" s="71"/>
      <c r="AA812" s="71"/>
      <c r="AB812" s="71"/>
      <c r="AC812" s="71"/>
      <c r="AD812" s="71"/>
      <c r="AE812" s="71"/>
      <c r="AF812" s="71"/>
      <c r="AG812" s="71"/>
      <c r="AH812" s="71"/>
      <c r="AI812" s="71"/>
      <c r="AJ812" s="71"/>
      <c r="AK812" s="71"/>
      <c r="AL812" s="71"/>
      <c r="AM812" s="71"/>
      <c r="AN812" s="71"/>
      <c r="AO812" s="71"/>
      <c r="AP812" s="71"/>
      <c r="AQ812" s="71"/>
      <c r="AR812" s="71"/>
      <c r="AS812" s="71"/>
      <c r="AT812" s="71"/>
    </row>
    <row r="813" spans="1:46" ht="15.65" hidden="1" customHeight="1" x14ac:dyDescent="0.35">
      <c r="A813" s="188" t="s">
        <v>824</v>
      </c>
      <c r="B813" s="188"/>
      <c r="C813" s="99" t="s">
        <v>825</v>
      </c>
      <c r="D813" s="150" t="s">
        <v>444</v>
      </c>
      <c r="E813" s="150" t="s">
        <v>369</v>
      </c>
      <c r="F813" s="174"/>
      <c r="G813" s="106" t="s">
        <v>513</v>
      </c>
      <c r="H813" s="106" t="s">
        <v>513</v>
      </c>
      <c r="I813" s="190">
        <v>100.3</v>
      </c>
      <c r="J813" s="99" t="s">
        <v>428</v>
      </c>
      <c r="K813" s="107">
        <v>44926</v>
      </c>
      <c r="L813" s="169"/>
      <c r="M813" s="99"/>
      <c r="N813" s="108" t="s">
        <v>418</v>
      </c>
    </row>
    <row r="814" spans="1:46" ht="20.149999999999999" hidden="1" customHeight="1" x14ac:dyDescent="0.35">
      <c r="A814" s="204" t="s">
        <v>827</v>
      </c>
      <c r="B814" s="204"/>
      <c r="C814" s="99" t="s">
        <v>828</v>
      </c>
      <c r="D814" s="150" t="s">
        <v>1</v>
      </c>
      <c r="E814" s="150" t="s">
        <v>369</v>
      </c>
      <c r="F814" s="174"/>
      <c r="G814" s="117" t="s">
        <v>513</v>
      </c>
      <c r="H814" s="240" t="s">
        <v>513</v>
      </c>
      <c r="I814" s="241">
        <v>50</v>
      </c>
      <c r="J814" s="99" t="s">
        <v>487</v>
      </c>
      <c r="K814" s="107">
        <v>44561</v>
      </c>
      <c r="L814" s="169" t="s">
        <v>498</v>
      </c>
      <c r="M814" s="99"/>
      <c r="N814" s="108" t="s">
        <v>443</v>
      </c>
    </row>
    <row r="815" spans="1:46" ht="15.65" hidden="1" customHeight="1" x14ac:dyDescent="0.35">
      <c r="A815" s="204" t="s">
        <v>827</v>
      </c>
      <c r="B815" s="204"/>
      <c r="C815" s="99" t="s">
        <v>828</v>
      </c>
      <c r="D815" s="150" t="s">
        <v>444</v>
      </c>
      <c r="E815" s="150" t="s">
        <v>369</v>
      </c>
      <c r="F815" s="174"/>
      <c r="G815" s="117" t="s">
        <v>513</v>
      </c>
      <c r="H815" s="240" t="s">
        <v>513</v>
      </c>
      <c r="I815" s="241">
        <v>50</v>
      </c>
      <c r="J815" s="99" t="s">
        <v>487</v>
      </c>
      <c r="K815" s="107">
        <v>44926</v>
      </c>
      <c r="L815" s="169"/>
      <c r="M815" s="99"/>
      <c r="N815" s="108" t="s">
        <v>418</v>
      </c>
    </row>
    <row r="816" spans="1:46" ht="15.65" hidden="1" customHeight="1" x14ac:dyDescent="0.35">
      <c r="A816" s="180" t="s">
        <v>829</v>
      </c>
      <c r="B816" s="180"/>
      <c r="C816" s="181" t="s">
        <v>830</v>
      </c>
      <c r="D816" s="167" t="s">
        <v>427</v>
      </c>
      <c r="E816" s="167" t="s">
        <v>369</v>
      </c>
      <c r="F816" s="174"/>
      <c r="G816" s="171">
        <v>55.65</v>
      </c>
      <c r="H816" s="171">
        <f t="shared" ref="H816:H822" si="11">G816+2.75</f>
        <v>58.4</v>
      </c>
      <c r="I816" s="172"/>
      <c r="J816" s="99" t="s">
        <v>428</v>
      </c>
      <c r="K816" s="107">
        <v>44561</v>
      </c>
      <c r="L816" s="99"/>
      <c r="M816" s="99"/>
      <c r="N816" s="99" t="s">
        <v>433</v>
      </c>
    </row>
    <row r="817" spans="1:46" ht="15.65" hidden="1" customHeight="1" x14ac:dyDescent="0.35">
      <c r="A817" s="180" t="s">
        <v>831</v>
      </c>
      <c r="B817" s="180"/>
      <c r="C817" s="181" t="s">
        <v>832</v>
      </c>
      <c r="D817" s="167" t="s">
        <v>427</v>
      </c>
      <c r="E817" s="167" t="s">
        <v>369</v>
      </c>
      <c r="F817" s="174"/>
      <c r="G817" s="171">
        <v>38.75</v>
      </c>
      <c r="H817" s="171">
        <f t="shared" si="11"/>
        <v>41.5</v>
      </c>
      <c r="I817" s="172"/>
      <c r="J817" s="99" t="s">
        <v>428</v>
      </c>
      <c r="K817" s="107">
        <v>44561</v>
      </c>
      <c r="L817" s="99"/>
      <c r="M817" s="99"/>
      <c r="N817" s="99" t="s">
        <v>457</v>
      </c>
    </row>
    <row r="818" spans="1:46" s="89" customFormat="1" ht="15.65" hidden="1" customHeight="1" x14ac:dyDescent="0.35">
      <c r="A818" s="188" t="s">
        <v>833</v>
      </c>
      <c r="B818" s="188"/>
      <c r="C818" s="169" t="s">
        <v>834</v>
      </c>
      <c r="D818" s="150" t="s">
        <v>427</v>
      </c>
      <c r="E818" s="167" t="s">
        <v>369</v>
      </c>
      <c r="F818" s="174"/>
      <c r="G818" s="117">
        <v>38.700000000000003</v>
      </c>
      <c r="H818" s="106">
        <f t="shared" si="11"/>
        <v>41.45</v>
      </c>
      <c r="I818" s="99"/>
      <c r="J818" s="99" t="s">
        <v>487</v>
      </c>
      <c r="K818" s="107">
        <v>44561</v>
      </c>
      <c r="L818" s="169" t="s">
        <v>835</v>
      </c>
      <c r="M818" s="99"/>
      <c r="N818" s="108" t="s">
        <v>443</v>
      </c>
      <c r="O818" s="71"/>
      <c r="P818" s="71"/>
      <c r="Q818" s="71"/>
      <c r="R818" s="71"/>
      <c r="S818" s="71"/>
      <c r="T818" s="71"/>
      <c r="U818" s="71"/>
      <c r="V818" s="71"/>
      <c r="W818" s="71"/>
      <c r="X818" s="71"/>
      <c r="Y818" s="71"/>
      <c r="Z818" s="71"/>
      <c r="AA818" s="71"/>
      <c r="AB818" s="71"/>
      <c r="AC818" s="71"/>
      <c r="AD818" s="71"/>
      <c r="AE818" s="71"/>
      <c r="AF818" s="71"/>
      <c r="AG818" s="71"/>
      <c r="AH818" s="71"/>
      <c r="AI818" s="71"/>
      <c r="AJ818" s="71"/>
      <c r="AK818" s="71"/>
      <c r="AL818" s="71"/>
      <c r="AM818" s="71"/>
      <c r="AN818" s="71"/>
      <c r="AO818" s="71"/>
      <c r="AP818" s="71"/>
      <c r="AQ818" s="71"/>
      <c r="AR818" s="71"/>
      <c r="AS818" s="71"/>
      <c r="AT818" s="71"/>
    </row>
    <row r="819" spans="1:46" s="89" customFormat="1" ht="15.65" hidden="1" customHeight="1" x14ac:dyDescent="0.35">
      <c r="A819" s="188" t="s">
        <v>833</v>
      </c>
      <c r="B819" s="188"/>
      <c r="C819" s="169" t="s">
        <v>834</v>
      </c>
      <c r="D819" s="150" t="s">
        <v>444</v>
      </c>
      <c r="E819" s="167" t="s">
        <v>369</v>
      </c>
      <c r="F819" s="174"/>
      <c r="G819" s="117">
        <v>38.700000000000003</v>
      </c>
      <c r="H819" s="106">
        <f t="shared" si="11"/>
        <v>41.45</v>
      </c>
      <c r="I819" s="99"/>
      <c r="J819" s="99" t="s">
        <v>487</v>
      </c>
      <c r="K819" s="107">
        <v>44926</v>
      </c>
      <c r="L819" s="169"/>
      <c r="M819" s="99"/>
      <c r="N819" s="108" t="s">
        <v>418</v>
      </c>
      <c r="O819" s="71"/>
      <c r="P819" s="71"/>
      <c r="Q819" s="71"/>
      <c r="R819" s="71"/>
      <c r="S819" s="71"/>
      <c r="T819" s="71"/>
      <c r="U819" s="71"/>
      <c r="V819" s="71"/>
      <c r="W819" s="71"/>
      <c r="X819" s="71"/>
      <c r="Y819" s="71"/>
      <c r="Z819" s="71"/>
      <c r="AA819" s="71"/>
      <c r="AB819" s="71"/>
      <c r="AC819" s="71"/>
      <c r="AD819" s="71"/>
      <c r="AE819" s="71"/>
      <c r="AF819" s="71"/>
      <c r="AG819" s="71"/>
      <c r="AH819" s="71"/>
      <c r="AI819" s="71"/>
      <c r="AJ819" s="71"/>
      <c r="AK819" s="71"/>
      <c r="AL819" s="71"/>
      <c r="AM819" s="71"/>
      <c r="AN819" s="71"/>
      <c r="AO819" s="71"/>
      <c r="AP819" s="71"/>
      <c r="AQ819" s="71"/>
      <c r="AR819" s="71"/>
      <c r="AS819" s="71"/>
      <c r="AT819" s="71"/>
    </row>
    <row r="820" spans="1:46" s="89" customFormat="1" ht="15.65" hidden="1" customHeight="1" x14ac:dyDescent="0.35">
      <c r="A820" s="180" t="s">
        <v>836</v>
      </c>
      <c r="B820" s="180"/>
      <c r="C820" s="181" t="s">
        <v>837</v>
      </c>
      <c r="D820" s="167" t="s">
        <v>427</v>
      </c>
      <c r="E820" s="167" t="s">
        <v>369</v>
      </c>
      <c r="F820" s="174"/>
      <c r="G820" s="171">
        <v>54.4</v>
      </c>
      <c r="H820" s="171">
        <f t="shared" si="11"/>
        <v>57.15</v>
      </c>
      <c r="I820" s="172"/>
      <c r="J820" s="99" t="s">
        <v>428</v>
      </c>
      <c r="K820" s="107">
        <v>44561</v>
      </c>
      <c r="L820" s="169" t="s">
        <v>838</v>
      </c>
      <c r="M820" s="99"/>
      <c r="N820" s="99" t="s">
        <v>439</v>
      </c>
      <c r="O820" s="71"/>
      <c r="P820" s="71"/>
      <c r="Q820" s="71"/>
      <c r="R820" s="71"/>
      <c r="S820" s="71"/>
      <c r="T820" s="71"/>
      <c r="U820" s="71"/>
      <c r="V820" s="71"/>
      <c r="W820" s="71"/>
      <c r="X820" s="71"/>
      <c r="Y820" s="71"/>
      <c r="Z820" s="71"/>
      <c r="AA820" s="71"/>
      <c r="AB820" s="71"/>
      <c r="AC820" s="71"/>
      <c r="AD820" s="71"/>
      <c r="AE820" s="71"/>
      <c r="AF820" s="71"/>
      <c r="AG820" s="71"/>
      <c r="AH820" s="71"/>
      <c r="AI820" s="71"/>
      <c r="AJ820" s="71"/>
      <c r="AK820" s="71"/>
      <c r="AL820" s="71"/>
      <c r="AM820" s="71"/>
      <c r="AN820" s="71"/>
      <c r="AO820" s="71"/>
      <c r="AP820" s="71"/>
      <c r="AQ820" s="71"/>
      <c r="AR820" s="71"/>
      <c r="AS820" s="71"/>
      <c r="AT820" s="71"/>
    </row>
    <row r="821" spans="1:46" s="89" customFormat="1" ht="15.65" hidden="1" customHeight="1" x14ac:dyDescent="0.35">
      <c r="A821" s="180" t="s">
        <v>839</v>
      </c>
      <c r="B821" s="180"/>
      <c r="C821" s="181" t="s">
        <v>840</v>
      </c>
      <c r="D821" s="167" t="s">
        <v>427</v>
      </c>
      <c r="E821" s="167" t="s">
        <v>369</v>
      </c>
      <c r="F821" s="174"/>
      <c r="G821" s="171">
        <v>39.799999999999997</v>
      </c>
      <c r="H821" s="171">
        <f t="shared" si="11"/>
        <v>42.55</v>
      </c>
      <c r="I821" s="172"/>
      <c r="J821" s="99" t="s">
        <v>428</v>
      </c>
      <c r="K821" s="107">
        <v>44561</v>
      </c>
      <c r="L821" s="99"/>
      <c r="M821" s="99"/>
      <c r="N821" s="99" t="s">
        <v>457</v>
      </c>
      <c r="O821" s="71"/>
      <c r="P821" s="71"/>
      <c r="Q821" s="71"/>
      <c r="R821" s="71"/>
      <c r="S821" s="71"/>
      <c r="T821" s="71"/>
      <c r="U821" s="71"/>
      <c r="V821" s="71"/>
      <c r="W821" s="71"/>
      <c r="X821" s="71"/>
      <c r="Y821" s="71"/>
      <c r="Z821" s="71"/>
      <c r="AA821" s="71"/>
      <c r="AB821" s="71"/>
      <c r="AC821" s="71"/>
      <c r="AD821" s="71"/>
      <c r="AE821" s="71"/>
      <c r="AF821" s="71"/>
      <c r="AG821" s="71"/>
      <c r="AH821" s="71"/>
      <c r="AI821" s="71"/>
      <c r="AJ821" s="71"/>
      <c r="AK821" s="71"/>
      <c r="AL821" s="71"/>
      <c r="AM821" s="71"/>
      <c r="AN821" s="71"/>
      <c r="AO821" s="71"/>
      <c r="AP821" s="71"/>
      <c r="AQ821" s="71"/>
      <c r="AR821" s="71"/>
      <c r="AS821" s="71"/>
      <c r="AT821" s="71"/>
    </row>
    <row r="822" spans="1:46" s="89" customFormat="1" ht="15.65" hidden="1" customHeight="1" x14ac:dyDescent="0.35">
      <c r="A822" s="180" t="s">
        <v>841</v>
      </c>
      <c r="B822" s="180"/>
      <c r="C822" s="181" t="s">
        <v>842</v>
      </c>
      <c r="D822" s="167" t="s">
        <v>427</v>
      </c>
      <c r="E822" s="167" t="s">
        <v>369</v>
      </c>
      <c r="F822" s="174"/>
      <c r="G822" s="171">
        <v>39.25</v>
      </c>
      <c r="H822" s="171">
        <f t="shared" si="11"/>
        <v>42</v>
      </c>
      <c r="I822" s="172"/>
      <c r="J822" s="99" t="s">
        <v>428</v>
      </c>
      <c r="K822" s="107">
        <v>44561</v>
      </c>
      <c r="L822" s="99" t="s">
        <v>843</v>
      </c>
      <c r="M822" s="99"/>
      <c r="N822" s="99" t="s">
        <v>457</v>
      </c>
      <c r="O822" s="71"/>
      <c r="P822" s="71"/>
      <c r="Q822" s="71"/>
      <c r="R822" s="71"/>
      <c r="S822" s="71"/>
      <c r="T822" s="71"/>
      <c r="U822" s="71"/>
      <c r="V822" s="71"/>
      <c r="W822" s="71"/>
      <c r="X822" s="71"/>
      <c r="Y822" s="71"/>
      <c r="Z822" s="71"/>
      <c r="AA822" s="71"/>
      <c r="AB822" s="71"/>
      <c r="AC822" s="71"/>
      <c r="AD822" s="71"/>
      <c r="AE822" s="71"/>
      <c r="AF822" s="71"/>
      <c r="AG822" s="71"/>
      <c r="AH822" s="71"/>
      <c r="AI822" s="71"/>
      <c r="AJ822" s="71"/>
      <c r="AK822" s="71"/>
      <c r="AL822" s="71"/>
      <c r="AM822" s="71"/>
      <c r="AN822" s="71"/>
      <c r="AO822" s="71"/>
      <c r="AP822" s="71"/>
      <c r="AQ822" s="71"/>
      <c r="AR822" s="71"/>
      <c r="AS822" s="71"/>
      <c r="AT822" s="71"/>
    </row>
    <row r="823" spans="1:46" s="89" customFormat="1" ht="15.65" hidden="1" customHeight="1" x14ac:dyDescent="0.35">
      <c r="A823" s="175" t="s">
        <v>844</v>
      </c>
      <c r="B823" s="175"/>
      <c r="C823" s="167" t="s">
        <v>845</v>
      </c>
      <c r="D823" s="167" t="s">
        <v>427</v>
      </c>
      <c r="E823" s="167" t="s">
        <v>369</v>
      </c>
      <c r="F823" s="174"/>
      <c r="G823" s="176" t="s">
        <v>513</v>
      </c>
      <c r="H823" s="176">
        <v>24.45</v>
      </c>
      <c r="I823" s="177"/>
      <c r="J823" s="150" t="s">
        <v>432</v>
      </c>
      <c r="K823" s="178">
        <v>44561</v>
      </c>
      <c r="L823" s="150" t="s">
        <v>843</v>
      </c>
      <c r="M823" s="150" t="s">
        <v>20</v>
      </c>
      <c r="N823" s="150" t="s">
        <v>457</v>
      </c>
      <c r="O823" s="71"/>
      <c r="P823" s="71"/>
      <c r="Q823" s="71"/>
      <c r="R823" s="71"/>
      <c r="S823" s="71"/>
      <c r="T823" s="71"/>
      <c r="U823" s="71"/>
      <c r="V823" s="71"/>
      <c r="W823" s="71"/>
      <c r="X823" s="71"/>
      <c r="Y823" s="71"/>
      <c r="Z823" s="71"/>
      <c r="AA823" s="71"/>
      <c r="AB823" s="71"/>
      <c r="AC823" s="71"/>
      <c r="AD823" s="71"/>
      <c r="AE823" s="71"/>
      <c r="AF823" s="71"/>
      <c r="AG823" s="71"/>
      <c r="AH823" s="71"/>
      <c r="AI823" s="71"/>
      <c r="AJ823" s="71"/>
      <c r="AK823" s="71"/>
      <c r="AL823" s="71"/>
      <c r="AM823" s="71"/>
      <c r="AN823" s="71"/>
      <c r="AO823" s="71"/>
      <c r="AP823" s="71"/>
      <c r="AQ823" s="71"/>
      <c r="AR823" s="71"/>
      <c r="AS823" s="71"/>
      <c r="AT823" s="71"/>
    </row>
    <row r="824" spans="1:46" s="89" customFormat="1" ht="15.65" hidden="1" customHeight="1" x14ac:dyDescent="0.35">
      <c r="A824" s="99">
        <v>51.44</v>
      </c>
      <c r="B824" s="99"/>
      <c r="C824" s="99" t="s">
        <v>846</v>
      </c>
      <c r="D824" s="168" t="s">
        <v>28</v>
      </c>
      <c r="E824" s="150" t="s">
        <v>986</v>
      </c>
      <c r="F824" s="75"/>
      <c r="G824" s="106">
        <v>47.37</v>
      </c>
      <c r="H824" s="106">
        <v>52.37</v>
      </c>
      <c r="I824" s="99"/>
      <c r="J824" s="99" t="s">
        <v>56</v>
      </c>
      <c r="K824" s="267">
        <v>45657</v>
      </c>
      <c r="L824" s="99" t="s">
        <v>125</v>
      </c>
      <c r="M824" s="99" t="s">
        <v>20</v>
      </c>
      <c r="N824" s="108" t="s">
        <v>126</v>
      </c>
      <c r="O824" s="71"/>
      <c r="P824" s="71"/>
      <c r="Q824" s="71"/>
      <c r="R824" s="71"/>
      <c r="S824" s="71"/>
      <c r="T824" s="71"/>
      <c r="U824" s="71"/>
      <c r="V824" s="71"/>
      <c r="W824" s="71"/>
      <c r="X824" s="71"/>
      <c r="Y824" s="71"/>
      <c r="Z824" s="71"/>
      <c r="AA824" s="71"/>
      <c r="AB824" s="71"/>
      <c r="AC824" s="71"/>
      <c r="AD824" s="71"/>
      <c r="AE824" s="71"/>
      <c r="AF824" s="71"/>
      <c r="AG824" s="71"/>
      <c r="AH824" s="71"/>
      <c r="AI824" s="71"/>
      <c r="AJ824" s="71"/>
      <c r="AK824" s="71"/>
      <c r="AL824" s="71"/>
      <c r="AM824" s="71"/>
      <c r="AN824" s="71"/>
      <c r="AO824" s="71"/>
      <c r="AP824" s="71"/>
      <c r="AQ824" s="71"/>
      <c r="AR824" s="71"/>
      <c r="AS824" s="71"/>
      <c r="AT824" s="71"/>
    </row>
    <row r="825" spans="1:46" ht="15.65" hidden="1" customHeight="1" x14ac:dyDescent="0.35">
      <c r="A825" s="99">
        <v>51.987923000000002</v>
      </c>
      <c r="B825" s="99"/>
      <c r="C825" s="99" t="s">
        <v>847</v>
      </c>
      <c r="D825" s="168" t="s">
        <v>28</v>
      </c>
      <c r="E825" s="150" t="s">
        <v>986</v>
      </c>
      <c r="F825" s="75"/>
      <c r="G825" s="106" t="s">
        <v>848</v>
      </c>
      <c r="H825" s="106" t="s">
        <v>849</v>
      </c>
      <c r="I825" s="99"/>
      <c r="J825" s="99" t="s">
        <v>56</v>
      </c>
      <c r="K825" s="267">
        <v>45657</v>
      </c>
      <c r="L825" s="99" t="s">
        <v>125</v>
      </c>
      <c r="M825" s="99" t="s">
        <v>20</v>
      </c>
      <c r="N825" s="108" t="s">
        <v>126</v>
      </c>
    </row>
    <row r="826" spans="1:46" ht="15.65" hidden="1" customHeight="1" x14ac:dyDescent="0.35">
      <c r="A826" s="99" t="s">
        <v>788</v>
      </c>
      <c r="B826" s="99"/>
      <c r="C826" s="99" t="s">
        <v>850</v>
      </c>
      <c r="D826" s="168" t="s">
        <v>28</v>
      </c>
      <c r="E826" s="150" t="s">
        <v>986</v>
      </c>
      <c r="F826" s="75"/>
      <c r="G826" s="106" t="s">
        <v>851</v>
      </c>
      <c r="H826" s="106" t="s">
        <v>852</v>
      </c>
      <c r="I826" s="99"/>
      <c r="J826" s="99" t="s">
        <v>56</v>
      </c>
      <c r="K826" s="267">
        <v>45657</v>
      </c>
      <c r="L826" s="99" t="s">
        <v>125</v>
      </c>
      <c r="M826" s="99" t="s">
        <v>20</v>
      </c>
      <c r="N826" s="108" t="s">
        <v>126</v>
      </c>
    </row>
    <row r="827" spans="1:46" ht="15.65" hidden="1" customHeight="1" x14ac:dyDescent="0.35">
      <c r="A827" s="99" t="s">
        <v>423</v>
      </c>
      <c r="B827" s="99"/>
      <c r="C827" s="99" t="s">
        <v>853</v>
      </c>
      <c r="D827" s="168" t="s">
        <v>28</v>
      </c>
      <c r="E827" s="150" t="s">
        <v>986</v>
      </c>
      <c r="F827" s="75"/>
      <c r="G827" s="106" t="s">
        <v>854</v>
      </c>
      <c r="H827" s="106" t="s">
        <v>855</v>
      </c>
      <c r="I827" s="99"/>
      <c r="J827" s="99" t="s">
        <v>56</v>
      </c>
      <c r="K827" s="267">
        <v>45657</v>
      </c>
      <c r="L827" s="99" t="s">
        <v>125</v>
      </c>
      <c r="M827" s="99" t="s">
        <v>20</v>
      </c>
      <c r="N827" s="108" t="s">
        <v>126</v>
      </c>
    </row>
    <row r="828" spans="1:46" s="89" customFormat="1" ht="15.65" hidden="1" customHeight="1" x14ac:dyDescent="0.35">
      <c r="A828" s="99" t="s">
        <v>793</v>
      </c>
      <c r="B828" s="99"/>
      <c r="C828" s="99" t="s">
        <v>856</v>
      </c>
      <c r="D828" s="168" t="s">
        <v>28</v>
      </c>
      <c r="E828" s="150" t="s">
        <v>986</v>
      </c>
      <c r="F828" s="75"/>
      <c r="G828" s="106" t="s">
        <v>857</v>
      </c>
      <c r="H828" s="106" t="s">
        <v>858</v>
      </c>
      <c r="I828" s="99"/>
      <c r="J828" s="99" t="s">
        <v>56</v>
      </c>
      <c r="K828" s="267">
        <v>45657</v>
      </c>
      <c r="L828" s="99" t="s">
        <v>125</v>
      </c>
      <c r="M828" s="99" t="s">
        <v>20</v>
      </c>
      <c r="N828" s="108" t="s">
        <v>126</v>
      </c>
      <c r="O828" s="71"/>
      <c r="P828" s="71"/>
      <c r="Q828" s="71"/>
      <c r="R828" s="71"/>
      <c r="S828" s="71"/>
      <c r="T828" s="71"/>
      <c r="U828" s="71"/>
      <c r="V828" s="71"/>
      <c r="W828" s="71"/>
      <c r="X828" s="71"/>
      <c r="Y828" s="71"/>
      <c r="Z828" s="71"/>
      <c r="AA828" s="71"/>
      <c r="AB828" s="71"/>
      <c r="AC828" s="71"/>
      <c r="AD828" s="71"/>
      <c r="AE828" s="71"/>
      <c r="AF828" s="71"/>
      <c r="AG828" s="71"/>
      <c r="AH828" s="71"/>
      <c r="AI828" s="71"/>
      <c r="AJ828" s="71"/>
      <c r="AK828" s="71"/>
      <c r="AL828" s="71"/>
      <c r="AM828" s="71"/>
      <c r="AN828" s="71"/>
      <c r="AO828" s="71"/>
      <c r="AP828" s="71"/>
      <c r="AQ828" s="71"/>
      <c r="AR828" s="71"/>
      <c r="AS828" s="71"/>
      <c r="AT828" s="71"/>
    </row>
    <row r="829" spans="1:46" s="89" customFormat="1" ht="15.65" hidden="1" customHeight="1" x14ac:dyDescent="0.35">
      <c r="A829" s="99" t="s">
        <v>797</v>
      </c>
      <c r="B829" s="99"/>
      <c r="C829" s="99" t="s">
        <v>859</v>
      </c>
      <c r="D829" s="168" t="s">
        <v>28</v>
      </c>
      <c r="E829" s="150" t="s">
        <v>986</v>
      </c>
      <c r="F829" s="75"/>
      <c r="G829" s="106" t="s">
        <v>860</v>
      </c>
      <c r="H829" s="106" t="s">
        <v>861</v>
      </c>
      <c r="I829" s="99"/>
      <c r="J829" s="99" t="s">
        <v>56</v>
      </c>
      <c r="K829" s="267">
        <v>45657</v>
      </c>
      <c r="L829" s="99" t="s">
        <v>125</v>
      </c>
      <c r="M829" s="99" t="s">
        <v>20</v>
      </c>
      <c r="N829" s="108" t="s">
        <v>126</v>
      </c>
      <c r="O829" s="71"/>
      <c r="P829" s="71"/>
      <c r="Q829" s="71"/>
      <c r="R829" s="71"/>
      <c r="S829" s="71"/>
      <c r="T829" s="71"/>
      <c r="U829" s="71"/>
      <c r="V829" s="71"/>
      <c r="W829" s="71"/>
      <c r="X829" s="71"/>
      <c r="Y829" s="71"/>
      <c r="Z829" s="71"/>
      <c r="AA829" s="71"/>
      <c r="AB829" s="71"/>
      <c r="AC829" s="71"/>
      <c r="AD829" s="71"/>
      <c r="AE829" s="71"/>
      <c r="AF829" s="71"/>
      <c r="AG829" s="71"/>
      <c r="AH829" s="71"/>
      <c r="AI829" s="71"/>
      <c r="AJ829" s="71"/>
      <c r="AK829" s="71"/>
      <c r="AL829" s="71"/>
      <c r="AM829" s="71"/>
      <c r="AN829" s="71"/>
      <c r="AO829" s="71"/>
      <c r="AP829" s="71"/>
      <c r="AQ829" s="71"/>
      <c r="AR829" s="71"/>
      <c r="AS829" s="71"/>
      <c r="AT829" s="71"/>
    </row>
    <row r="830" spans="1:46" s="89" customFormat="1" ht="15.65" hidden="1" customHeight="1" x14ac:dyDescent="0.35">
      <c r="A830" s="99" t="s">
        <v>862</v>
      </c>
      <c r="B830" s="99"/>
      <c r="C830" s="99" t="s">
        <v>863</v>
      </c>
      <c r="D830" s="168" t="s">
        <v>28</v>
      </c>
      <c r="E830" s="150" t="s">
        <v>986</v>
      </c>
      <c r="F830" s="75"/>
      <c r="G830" s="106">
        <v>223.35</v>
      </c>
      <c r="H830" s="106">
        <v>228.35</v>
      </c>
      <c r="I830" s="99"/>
      <c r="J830" s="99" t="s">
        <v>56</v>
      </c>
      <c r="K830" s="267">
        <v>45657</v>
      </c>
      <c r="L830" s="99" t="s">
        <v>125</v>
      </c>
      <c r="M830" s="99" t="s">
        <v>20</v>
      </c>
      <c r="N830" s="108" t="s">
        <v>126</v>
      </c>
      <c r="O830" s="71"/>
      <c r="P830" s="71"/>
      <c r="Q830" s="71"/>
      <c r="R830" s="71"/>
      <c r="S830" s="71"/>
      <c r="T830" s="71"/>
      <c r="U830" s="71"/>
      <c r="V830" s="71"/>
      <c r="W830" s="71"/>
      <c r="X830" s="71"/>
      <c r="Y830" s="71"/>
      <c r="Z830" s="71"/>
      <c r="AA830" s="71"/>
      <c r="AB830" s="71"/>
      <c r="AC830" s="71"/>
      <c r="AD830" s="71"/>
      <c r="AE830" s="71"/>
      <c r="AF830" s="71"/>
      <c r="AG830" s="71"/>
      <c r="AH830" s="71"/>
      <c r="AI830" s="71"/>
      <c r="AJ830" s="71"/>
      <c r="AK830" s="71"/>
      <c r="AL830" s="71"/>
      <c r="AM830" s="71"/>
      <c r="AN830" s="71"/>
      <c r="AO830" s="71"/>
      <c r="AP830" s="71"/>
      <c r="AQ830" s="71"/>
      <c r="AR830" s="71"/>
      <c r="AS830" s="71"/>
      <c r="AT830" s="71"/>
    </row>
    <row r="831" spans="1:46" s="89" customFormat="1" ht="15.65" hidden="1" customHeight="1" x14ac:dyDescent="0.35">
      <c r="A831" s="99" t="s">
        <v>807</v>
      </c>
      <c r="B831" s="99"/>
      <c r="C831" s="99" t="s">
        <v>864</v>
      </c>
      <c r="D831" s="168" t="s">
        <v>28</v>
      </c>
      <c r="E831" s="150" t="s">
        <v>986</v>
      </c>
      <c r="F831" s="75"/>
      <c r="G831" s="106" t="s">
        <v>865</v>
      </c>
      <c r="H831" s="106" t="s">
        <v>866</v>
      </c>
      <c r="I831" s="99"/>
      <c r="J831" s="99" t="s">
        <v>56</v>
      </c>
      <c r="K831" s="267">
        <v>45657</v>
      </c>
      <c r="L831" s="99" t="s">
        <v>125</v>
      </c>
      <c r="M831" s="99" t="s">
        <v>20</v>
      </c>
      <c r="N831" s="108" t="s">
        <v>126</v>
      </c>
      <c r="O831" s="71"/>
      <c r="P831" s="71"/>
      <c r="Q831" s="71"/>
      <c r="R831" s="71"/>
      <c r="S831" s="71"/>
      <c r="T831" s="71"/>
      <c r="U831" s="71"/>
      <c r="V831" s="71"/>
      <c r="W831" s="71"/>
      <c r="X831" s="71"/>
      <c r="Y831" s="71"/>
      <c r="Z831" s="71"/>
      <c r="AA831" s="71"/>
      <c r="AB831" s="71"/>
      <c r="AC831" s="71"/>
      <c r="AD831" s="71"/>
      <c r="AE831" s="71"/>
      <c r="AF831" s="71"/>
      <c r="AG831" s="71"/>
      <c r="AH831" s="71"/>
      <c r="AI831" s="71"/>
      <c r="AJ831" s="71"/>
      <c r="AK831" s="71"/>
      <c r="AL831" s="71"/>
      <c r="AM831" s="71"/>
      <c r="AN831" s="71"/>
      <c r="AO831" s="71"/>
      <c r="AP831" s="71"/>
      <c r="AQ831" s="71"/>
      <c r="AR831" s="71"/>
      <c r="AS831" s="71"/>
      <c r="AT831" s="71"/>
    </row>
    <row r="832" spans="1:46" s="89" customFormat="1" ht="15.65" hidden="1" customHeight="1" x14ac:dyDescent="0.35">
      <c r="A832" s="99" t="s">
        <v>867</v>
      </c>
      <c r="B832" s="99"/>
      <c r="C832" s="99" t="s">
        <v>868</v>
      </c>
      <c r="D832" s="168" t="s">
        <v>28</v>
      </c>
      <c r="E832" s="150" t="s">
        <v>986</v>
      </c>
      <c r="F832" s="75"/>
      <c r="G832" s="106" t="s">
        <v>869</v>
      </c>
      <c r="H832" s="106" t="s">
        <v>870</v>
      </c>
      <c r="I832" s="99"/>
      <c r="J832" s="99" t="s">
        <v>56</v>
      </c>
      <c r="K832" s="267">
        <v>45657</v>
      </c>
      <c r="L832" s="99" t="s">
        <v>125</v>
      </c>
      <c r="M832" s="99" t="s">
        <v>20</v>
      </c>
      <c r="N832" s="108" t="s">
        <v>126</v>
      </c>
      <c r="O832" s="71"/>
      <c r="P832" s="71"/>
      <c r="Q832" s="71"/>
      <c r="R832" s="71"/>
      <c r="S832" s="71"/>
      <c r="T832" s="71"/>
      <c r="U832" s="71"/>
      <c r="V832" s="71"/>
      <c r="W832" s="71"/>
      <c r="X832" s="71"/>
      <c r="Y832" s="71"/>
      <c r="Z832" s="71"/>
      <c r="AA832" s="71"/>
      <c r="AB832" s="71"/>
      <c r="AC832" s="71"/>
      <c r="AD832" s="71"/>
      <c r="AE832" s="71"/>
      <c r="AF832" s="71"/>
      <c r="AG832" s="71"/>
      <c r="AH832" s="71"/>
      <c r="AI832" s="71"/>
      <c r="AJ832" s="71"/>
      <c r="AK832" s="71"/>
      <c r="AL832" s="71"/>
      <c r="AM832" s="71"/>
      <c r="AN832" s="71"/>
      <c r="AO832" s="71"/>
      <c r="AP832" s="71"/>
      <c r="AQ832" s="71"/>
      <c r="AR832" s="71"/>
      <c r="AS832" s="71"/>
      <c r="AT832" s="71"/>
    </row>
    <row r="833" spans="1:46" ht="15.65" hidden="1" customHeight="1" x14ac:dyDescent="0.35">
      <c r="A833" s="99" t="s">
        <v>817</v>
      </c>
      <c r="B833" s="99"/>
      <c r="C833" s="99" t="s">
        <v>871</v>
      </c>
      <c r="D833" s="168" t="s">
        <v>28</v>
      </c>
      <c r="E833" s="150" t="s">
        <v>986</v>
      </c>
      <c r="F833" s="75"/>
      <c r="G833" s="106" t="s">
        <v>872</v>
      </c>
      <c r="H833" s="106" t="s">
        <v>873</v>
      </c>
      <c r="I833" s="99"/>
      <c r="J833" s="99" t="s">
        <v>56</v>
      </c>
      <c r="K833" s="267">
        <v>45657</v>
      </c>
      <c r="L833" s="99" t="s">
        <v>125</v>
      </c>
      <c r="M833" s="99" t="s">
        <v>20</v>
      </c>
      <c r="N833" s="108" t="s">
        <v>126</v>
      </c>
    </row>
    <row r="834" spans="1:46" s="89" customFormat="1" ht="15.65" hidden="1" customHeight="1" x14ac:dyDescent="0.35">
      <c r="A834" s="99">
        <v>58.007449000000001</v>
      </c>
      <c r="B834" s="99"/>
      <c r="C834" s="99" t="s">
        <v>874</v>
      </c>
      <c r="D834" s="168" t="s">
        <v>28</v>
      </c>
      <c r="E834" s="150" t="s">
        <v>986</v>
      </c>
      <c r="F834" s="75"/>
      <c r="G834" s="106" t="s">
        <v>875</v>
      </c>
      <c r="H834" s="106" t="s">
        <v>876</v>
      </c>
      <c r="I834" s="99"/>
      <c r="J834" s="99" t="s">
        <v>56</v>
      </c>
      <c r="K834" s="267">
        <v>45657</v>
      </c>
      <c r="L834" s="99" t="s">
        <v>125</v>
      </c>
      <c r="M834" s="99" t="s">
        <v>20</v>
      </c>
      <c r="N834" s="108" t="s">
        <v>126</v>
      </c>
      <c r="O834" s="71"/>
      <c r="P834" s="71"/>
      <c r="Q834" s="71"/>
      <c r="R834" s="71"/>
      <c r="S834" s="71"/>
      <c r="T834" s="71"/>
      <c r="U834" s="71"/>
      <c r="V834" s="71"/>
      <c r="W834" s="71"/>
      <c r="X834" s="71"/>
      <c r="Y834" s="71"/>
      <c r="Z834" s="71"/>
      <c r="AA834" s="71"/>
      <c r="AB834" s="71"/>
      <c r="AC834" s="71"/>
      <c r="AD834" s="71"/>
      <c r="AE834" s="71"/>
      <c r="AF834" s="71"/>
      <c r="AG834" s="71"/>
      <c r="AH834" s="71"/>
      <c r="AI834" s="71"/>
      <c r="AJ834" s="71"/>
      <c r="AK834" s="71"/>
      <c r="AL834" s="71"/>
      <c r="AM834" s="71"/>
      <c r="AN834" s="71"/>
      <c r="AO834" s="71"/>
      <c r="AP834" s="71"/>
      <c r="AQ834" s="71"/>
      <c r="AR834" s="71"/>
      <c r="AS834" s="71"/>
      <c r="AT834" s="71"/>
    </row>
    <row r="835" spans="1:46" s="89" customFormat="1" ht="15.65" hidden="1" customHeight="1" x14ac:dyDescent="0.35">
      <c r="A835" s="99" t="s">
        <v>829</v>
      </c>
      <c r="B835" s="99"/>
      <c r="C835" s="99" t="s">
        <v>877</v>
      </c>
      <c r="D835" s="168" t="s">
        <v>28</v>
      </c>
      <c r="E835" s="150" t="s">
        <v>986</v>
      </c>
      <c r="F835" s="75"/>
      <c r="G835" s="106" t="s">
        <v>878</v>
      </c>
      <c r="H835" s="106" t="s">
        <v>879</v>
      </c>
      <c r="I835" s="99"/>
      <c r="J835" s="99" t="s">
        <v>56</v>
      </c>
      <c r="K835" s="267">
        <v>45657</v>
      </c>
      <c r="L835" s="99" t="s">
        <v>125</v>
      </c>
      <c r="M835" s="99" t="s">
        <v>20</v>
      </c>
      <c r="N835" s="108" t="s">
        <v>126</v>
      </c>
      <c r="O835" s="71"/>
      <c r="P835" s="71"/>
      <c r="Q835" s="71"/>
      <c r="R835" s="71"/>
      <c r="S835" s="71"/>
      <c r="T835" s="71"/>
      <c r="U835" s="71"/>
      <c r="V835" s="71"/>
      <c r="W835" s="71"/>
      <c r="X835" s="71"/>
      <c r="Y835" s="71"/>
      <c r="Z835" s="71"/>
      <c r="AA835" s="71"/>
      <c r="AB835" s="71"/>
      <c r="AC835" s="71"/>
      <c r="AD835" s="71"/>
      <c r="AE835" s="71"/>
      <c r="AF835" s="71"/>
      <c r="AG835" s="71"/>
      <c r="AH835" s="71"/>
      <c r="AI835" s="71"/>
      <c r="AJ835" s="71"/>
      <c r="AK835" s="71"/>
      <c r="AL835" s="71"/>
      <c r="AM835" s="71"/>
      <c r="AN835" s="71"/>
      <c r="AO835" s="71"/>
      <c r="AP835" s="71"/>
      <c r="AQ835" s="71"/>
      <c r="AR835" s="71"/>
      <c r="AS835" s="71"/>
      <c r="AT835" s="71"/>
    </row>
    <row r="836" spans="1:46" s="89" customFormat="1" ht="15.65" hidden="1" customHeight="1" x14ac:dyDescent="0.35">
      <c r="A836" s="99" t="s">
        <v>831</v>
      </c>
      <c r="B836" s="99"/>
      <c r="C836" s="99" t="s">
        <v>880</v>
      </c>
      <c r="D836" s="168" t="s">
        <v>28</v>
      </c>
      <c r="E836" s="150" t="s">
        <v>986</v>
      </c>
      <c r="F836" s="75"/>
      <c r="G836" s="106" t="s">
        <v>881</v>
      </c>
      <c r="H836" s="106" t="s">
        <v>882</v>
      </c>
      <c r="I836" s="99"/>
      <c r="J836" s="99" t="s">
        <v>56</v>
      </c>
      <c r="K836" s="267">
        <v>45657</v>
      </c>
      <c r="L836" s="99" t="s">
        <v>125</v>
      </c>
      <c r="M836" s="99" t="s">
        <v>20</v>
      </c>
      <c r="N836" s="108" t="s">
        <v>126</v>
      </c>
      <c r="O836" s="71"/>
      <c r="P836" s="71"/>
      <c r="Q836" s="71"/>
      <c r="R836" s="71"/>
      <c r="S836" s="71"/>
      <c r="T836" s="71"/>
      <c r="U836" s="71"/>
      <c r="V836" s="71"/>
      <c r="W836" s="71"/>
      <c r="X836" s="71"/>
      <c r="Y836" s="71"/>
      <c r="Z836" s="71"/>
      <c r="AA836" s="71"/>
      <c r="AB836" s="71"/>
      <c r="AC836" s="71"/>
      <c r="AD836" s="71"/>
      <c r="AE836" s="71"/>
      <c r="AF836" s="71"/>
      <c r="AG836" s="71"/>
      <c r="AH836" s="71"/>
      <c r="AI836" s="71"/>
      <c r="AJ836" s="71"/>
      <c r="AK836" s="71"/>
      <c r="AL836" s="71"/>
      <c r="AM836" s="71"/>
      <c r="AN836" s="71"/>
      <c r="AO836" s="71"/>
      <c r="AP836" s="71"/>
      <c r="AQ836" s="71"/>
      <c r="AR836" s="71"/>
      <c r="AS836" s="71"/>
      <c r="AT836" s="71"/>
    </row>
    <row r="837" spans="1:46" s="89" customFormat="1" ht="15.65" hidden="1" customHeight="1" x14ac:dyDescent="0.35">
      <c r="A837" s="99">
        <v>63.497000999999997</v>
      </c>
      <c r="B837" s="99"/>
      <c r="C837" s="99" t="s">
        <v>883</v>
      </c>
      <c r="D837" s="168" t="s">
        <v>28</v>
      </c>
      <c r="E837" s="150" t="s">
        <v>986</v>
      </c>
      <c r="F837" s="75"/>
      <c r="G837" s="106" t="s">
        <v>272</v>
      </c>
      <c r="H837" s="106" t="s">
        <v>273</v>
      </c>
      <c r="I837" s="99"/>
      <c r="J837" s="99" t="s">
        <v>56</v>
      </c>
      <c r="K837" s="267">
        <v>45657</v>
      </c>
      <c r="L837" s="99" t="s">
        <v>125</v>
      </c>
      <c r="M837" s="99" t="s">
        <v>20</v>
      </c>
      <c r="N837" s="108" t="s">
        <v>126</v>
      </c>
      <c r="O837" s="71"/>
      <c r="P837" s="71"/>
      <c r="Q837" s="71"/>
      <c r="R837" s="71"/>
      <c r="S837" s="71"/>
      <c r="T837" s="71"/>
      <c r="U837" s="71"/>
      <c r="V837" s="71"/>
      <c r="W837" s="71"/>
      <c r="X837" s="71"/>
      <c r="Y837" s="71"/>
      <c r="Z837" s="71"/>
      <c r="AA837" s="71"/>
      <c r="AB837" s="71"/>
      <c r="AC837" s="71"/>
      <c r="AD837" s="71"/>
      <c r="AE837" s="71"/>
      <c r="AF837" s="71"/>
      <c r="AG837" s="71"/>
      <c r="AH837" s="71"/>
      <c r="AI837" s="71"/>
      <c r="AJ837" s="71"/>
      <c r="AK837" s="71"/>
      <c r="AL837" s="71"/>
      <c r="AM837" s="71"/>
      <c r="AN837" s="71"/>
      <c r="AO837" s="71"/>
      <c r="AP837" s="71"/>
      <c r="AQ837" s="71"/>
      <c r="AR837" s="71"/>
      <c r="AS837" s="71"/>
      <c r="AT837" s="71"/>
    </row>
    <row r="838" spans="1:46" s="89" customFormat="1" ht="15.65" hidden="1" customHeight="1" x14ac:dyDescent="0.35">
      <c r="A838" s="99">
        <v>70.040000000000006</v>
      </c>
      <c r="B838" s="99"/>
      <c r="C838" s="99" t="s">
        <v>884</v>
      </c>
      <c r="D838" s="168" t="s">
        <v>28</v>
      </c>
      <c r="E838" s="150" t="s">
        <v>986</v>
      </c>
      <c r="F838" s="75"/>
      <c r="G838" s="106" t="s">
        <v>885</v>
      </c>
      <c r="H838" s="106" t="s">
        <v>886</v>
      </c>
      <c r="I838" s="99"/>
      <c r="J838" s="99" t="s">
        <v>56</v>
      </c>
      <c r="K838" s="267">
        <v>45657</v>
      </c>
      <c r="L838" s="99" t="s">
        <v>125</v>
      </c>
      <c r="M838" s="99" t="s">
        <v>20</v>
      </c>
      <c r="N838" s="108" t="s">
        <v>126</v>
      </c>
      <c r="O838" s="71"/>
      <c r="P838" s="71"/>
      <c r="Q838" s="71"/>
      <c r="R838" s="71"/>
      <c r="S838" s="71"/>
      <c r="T838" s="71"/>
      <c r="U838" s="71"/>
      <c r="V838" s="71"/>
      <c r="W838" s="71"/>
      <c r="X838" s="71"/>
      <c r="Y838" s="71"/>
      <c r="Z838" s="71"/>
      <c r="AA838" s="71"/>
      <c r="AB838" s="71"/>
      <c r="AC838" s="71"/>
      <c r="AD838" s="71"/>
      <c r="AE838" s="71"/>
      <c r="AF838" s="71"/>
      <c r="AG838" s="71"/>
      <c r="AH838" s="71"/>
      <c r="AI838" s="71"/>
      <c r="AJ838" s="71"/>
      <c r="AK838" s="71"/>
      <c r="AL838" s="71"/>
      <c r="AM838" s="71"/>
      <c r="AN838" s="71"/>
      <c r="AO838" s="71"/>
      <c r="AP838" s="71"/>
      <c r="AQ838" s="71"/>
      <c r="AR838" s="71"/>
      <c r="AS838" s="71"/>
      <c r="AT838" s="71"/>
    </row>
    <row r="839" spans="1:46" s="89" customFormat="1" ht="15.65" hidden="1" customHeight="1" x14ac:dyDescent="0.35">
      <c r="A839" s="99" t="s">
        <v>775</v>
      </c>
      <c r="B839" s="99"/>
      <c r="C839" s="99" t="s">
        <v>887</v>
      </c>
      <c r="D839" s="168" t="s">
        <v>28</v>
      </c>
      <c r="E839" s="150" t="s">
        <v>986</v>
      </c>
      <c r="F839" s="75"/>
      <c r="G839" s="106">
        <v>33.659999999999997</v>
      </c>
      <c r="H839" s="106">
        <v>38.659999999999997</v>
      </c>
      <c r="I839" s="99"/>
      <c r="J839" s="99" t="s">
        <v>56</v>
      </c>
      <c r="K839" s="267">
        <v>45657</v>
      </c>
      <c r="L839" s="99" t="s">
        <v>125</v>
      </c>
      <c r="M839" s="99" t="s">
        <v>20</v>
      </c>
      <c r="N839" s="108" t="s">
        <v>126</v>
      </c>
      <c r="O839" s="71"/>
      <c r="P839" s="71"/>
      <c r="Q839" s="71"/>
      <c r="R839" s="71"/>
      <c r="S839" s="71"/>
      <c r="T839" s="71"/>
      <c r="U839" s="71"/>
      <c r="V839" s="71"/>
      <c r="W839" s="71"/>
      <c r="X839" s="71"/>
      <c r="Y839" s="71"/>
      <c r="Z839" s="71"/>
      <c r="AA839" s="71"/>
      <c r="AB839" s="71"/>
      <c r="AC839" s="71"/>
      <c r="AD839" s="71"/>
      <c r="AE839" s="71"/>
      <c r="AF839" s="71"/>
      <c r="AG839" s="71"/>
      <c r="AH839" s="71"/>
      <c r="AI839" s="71"/>
      <c r="AJ839" s="71"/>
      <c r="AK839" s="71"/>
      <c r="AL839" s="71"/>
      <c r="AM839" s="71"/>
      <c r="AN839" s="71"/>
      <c r="AO839" s="71"/>
      <c r="AP839" s="71"/>
      <c r="AQ839" s="71"/>
      <c r="AR839" s="71"/>
      <c r="AS839" s="71"/>
      <c r="AT839" s="71"/>
    </row>
    <row r="840" spans="1:46" s="89" customFormat="1" ht="15.65" hidden="1" customHeight="1" x14ac:dyDescent="0.35">
      <c r="A840" s="99">
        <v>70.097447000000003</v>
      </c>
      <c r="B840" s="99"/>
      <c r="C840" s="99" t="s">
        <v>888</v>
      </c>
      <c r="D840" s="168" t="s">
        <v>28</v>
      </c>
      <c r="E840" s="150" t="s">
        <v>986</v>
      </c>
      <c r="F840" s="75"/>
      <c r="G840" s="106" t="s">
        <v>889</v>
      </c>
      <c r="H840" s="106">
        <v>40.049999999999997</v>
      </c>
      <c r="I840" s="99"/>
      <c r="J840" s="99" t="s">
        <v>56</v>
      </c>
      <c r="K840" s="267">
        <v>45657</v>
      </c>
      <c r="L840" s="99" t="s">
        <v>125</v>
      </c>
      <c r="M840" s="99" t="s">
        <v>20</v>
      </c>
      <c r="N840" s="108" t="s">
        <v>126</v>
      </c>
      <c r="O840" s="71"/>
      <c r="P840" s="71"/>
      <c r="Q840" s="71"/>
      <c r="R840" s="71"/>
      <c r="S840" s="71"/>
      <c r="T840" s="71"/>
      <c r="U840" s="71"/>
      <c r="V840" s="71"/>
      <c r="W840" s="71"/>
      <c r="X840" s="71"/>
      <c r="Y840" s="71"/>
      <c r="Z840" s="71"/>
      <c r="AA840" s="71"/>
      <c r="AB840" s="71"/>
      <c r="AC840" s="71"/>
      <c r="AD840" s="71"/>
      <c r="AE840" s="71"/>
      <c r="AF840" s="71"/>
      <c r="AG840" s="71"/>
      <c r="AH840" s="71"/>
      <c r="AI840" s="71"/>
      <c r="AJ840" s="71"/>
      <c r="AK840" s="71"/>
      <c r="AL840" s="71"/>
      <c r="AM840" s="71"/>
      <c r="AN840" s="71"/>
      <c r="AO840" s="71"/>
      <c r="AP840" s="71"/>
      <c r="AQ840" s="71"/>
      <c r="AR840" s="71"/>
      <c r="AS840" s="71"/>
      <c r="AT840" s="71"/>
    </row>
    <row r="841" spans="1:46" s="89" customFormat="1" ht="15.65" hidden="1" customHeight="1" x14ac:dyDescent="0.35">
      <c r="A841" s="166">
        <v>11.05</v>
      </c>
      <c r="B841" s="166"/>
      <c r="C841" s="242" t="s">
        <v>44</v>
      </c>
      <c r="D841" s="78" t="s">
        <v>368</v>
      </c>
      <c r="E841" s="243"/>
      <c r="F841" s="244"/>
      <c r="G841" s="164">
        <v>109</v>
      </c>
      <c r="H841" s="164">
        <v>114</v>
      </c>
      <c r="I841" s="77"/>
      <c r="J841" s="77" t="s">
        <v>890</v>
      </c>
      <c r="K841" s="245">
        <v>45107</v>
      </c>
      <c r="L841" s="77" t="s">
        <v>891</v>
      </c>
      <c r="M841" s="77" t="s">
        <v>20</v>
      </c>
      <c r="N841" s="94"/>
      <c r="O841" s="71"/>
      <c r="P841" s="71"/>
      <c r="Q841" s="71"/>
      <c r="R841" s="71"/>
      <c r="S841" s="71"/>
      <c r="T841" s="71"/>
      <c r="U841" s="71"/>
      <c r="V841" s="71"/>
      <c r="W841" s="71"/>
      <c r="X841" s="71"/>
      <c r="Y841" s="71"/>
      <c r="Z841" s="71"/>
      <c r="AA841" s="71"/>
      <c r="AB841" s="71"/>
      <c r="AC841" s="71"/>
      <c r="AD841" s="71"/>
      <c r="AE841" s="71"/>
      <c r="AF841" s="71"/>
      <c r="AG841" s="71"/>
      <c r="AH841" s="71"/>
      <c r="AI841" s="71"/>
      <c r="AJ841" s="71"/>
      <c r="AK841" s="71"/>
      <c r="AL841" s="71"/>
      <c r="AM841" s="71"/>
      <c r="AN841" s="71"/>
      <c r="AO841" s="71"/>
      <c r="AP841" s="71"/>
      <c r="AQ841" s="71"/>
      <c r="AR841" s="71"/>
      <c r="AS841" s="71"/>
      <c r="AT841" s="71"/>
    </row>
    <row r="842" spans="1:46" s="89" customFormat="1" ht="15.65" hidden="1" customHeight="1" x14ac:dyDescent="0.25">
      <c r="A842" s="246" t="s">
        <v>138</v>
      </c>
      <c r="B842" s="246"/>
      <c r="C842" s="162" t="s">
        <v>892</v>
      </c>
      <c r="D842" s="78" t="s">
        <v>368</v>
      </c>
      <c r="E842" s="243"/>
      <c r="F842" s="77"/>
      <c r="G842" s="247">
        <v>64</v>
      </c>
      <c r="H842" s="247">
        <v>69</v>
      </c>
      <c r="I842" s="77"/>
      <c r="J842" s="77" t="s">
        <v>382</v>
      </c>
      <c r="K842" s="93">
        <v>45291</v>
      </c>
      <c r="L842" s="77" t="s">
        <v>371</v>
      </c>
      <c r="M842" s="77" t="s">
        <v>20</v>
      </c>
      <c r="N842" s="94" t="s">
        <v>893</v>
      </c>
      <c r="O842" s="71"/>
      <c r="P842" s="71"/>
      <c r="Q842" s="71"/>
      <c r="R842" s="71"/>
      <c r="S842" s="71"/>
      <c r="T842" s="71"/>
      <c r="U842" s="71"/>
      <c r="V842" s="71"/>
      <c r="W842" s="71"/>
      <c r="X842" s="71"/>
      <c r="Y842" s="71"/>
      <c r="Z842" s="71"/>
      <c r="AA842" s="71"/>
      <c r="AB842" s="71"/>
      <c r="AC842" s="71"/>
      <c r="AD842" s="71"/>
      <c r="AE842" s="71"/>
      <c r="AF842" s="71"/>
      <c r="AG842" s="71"/>
      <c r="AH842" s="71"/>
      <c r="AI842" s="71"/>
      <c r="AJ842" s="71"/>
      <c r="AK842" s="71"/>
      <c r="AL842" s="71"/>
      <c r="AM842" s="71"/>
      <c r="AN842" s="71"/>
      <c r="AO842" s="71"/>
      <c r="AP842" s="71"/>
      <c r="AQ842" s="71"/>
      <c r="AR842" s="71"/>
      <c r="AS842" s="71"/>
      <c r="AT842" s="71"/>
    </row>
    <row r="843" spans="1:46" s="89" customFormat="1" ht="15.65" hidden="1" customHeight="1" x14ac:dyDescent="0.25">
      <c r="A843" s="248" t="s">
        <v>172</v>
      </c>
      <c r="B843" s="248"/>
      <c r="C843" s="158" t="s">
        <v>490</v>
      </c>
      <c r="D843" s="78" t="s">
        <v>368</v>
      </c>
      <c r="E843" s="243"/>
      <c r="F843" s="77"/>
      <c r="G843" s="115">
        <v>145.31399999999999</v>
      </c>
      <c r="H843" s="247">
        <v>150.31399999999999</v>
      </c>
      <c r="I843" s="77"/>
      <c r="J843" s="77" t="s">
        <v>370</v>
      </c>
      <c r="K843" s="93">
        <v>45291</v>
      </c>
      <c r="L843" s="77" t="s">
        <v>371</v>
      </c>
      <c r="M843" s="77" t="s">
        <v>372</v>
      </c>
      <c r="N843" s="94" t="s">
        <v>373</v>
      </c>
      <c r="O843" s="71"/>
      <c r="P843" s="71"/>
      <c r="Q843" s="71"/>
      <c r="R843" s="71"/>
      <c r="S843" s="71"/>
      <c r="T843" s="71"/>
      <c r="U843" s="71"/>
      <c r="V843" s="71"/>
      <c r="W843" s="71"/>
      <c r="X843" s="71"/>
      <c r="Y843" s="71"/>
      <c r="Z843" s="71"/>
      <c r="AA843" s="71"/>
      <c r="AB843" s="71"/>
      <c r="AC843" s="71"/>
      <c r="AD843" s="71"/>
      <c r="AE843" s="71"/>
      <c r="AF843" s="71"/>
      <c r="AG843" s="71"/>
      <c r="AH843" s="71"/>
      <c r="AI843" s="71"/>
      <c r="AJ843" s="71"/>
      <c r="AK843" s="71"/>
      <c r="AL843" s="71"/>
      <c r="AM843" s="71"/>
      <c r="AN843" s="71"/>
      <c r="AO843" s="71"/>
      <c r="AP843" s="71"/>
      <c r="AQ843" s="71"/>
      <c r="AR843" s="71"/>
      <c r="AS843" s="71"/>
      <c r="AT843" s="71"/>
    </row>
    <row r="844" spans="1:46" s="89" customFormat="1" ht="15.65" hidden="1" customHeight="1" x14ac:dyDescent="0.25">
      <c r="A844" s="246" t="s">
        <v>176</v>
      </c>
      <c r="B844" s="246"/>
      <c r="C844" s="162" t="s">
        <v>894</v>
      </c>
      <c r="D844" s="78" t="s">
        <v>368</v>
      </c>
      <c r="E844" s="243"/>
      <c r="F844" s="77"/>
      <c r="G844" s="247">
        <f>96.7*1.03</f>
        <v>99.600999999999999</v>
      </c>
      <c r="H844" s="247">
        <v>104.601</v>
      </c>
      <c r="I844" s="77"/>
      <c r="J844" s="77" t="s">
        <v>382</v>
      </c>
      <c r="K844" s="93">
        <v>45291</v>
      </c>
      <c r="L844" s="77" t="s">
        <v>371</v>
      </c>
      <c r="M844" s="77" t="s">
        <v>20</v>
      </c>
      <c r="N844" s="94" t="s">
        <v>893</v>
      </c>
      <c r="O844" s="71"/>
      <c r="P844" s="71"/>
      <c r="Q844" s="71"/>
      <c r="R844" s="71"/>
      <c r="S844" s="71"/>
      <c r="T844" s="71"/>
      <c r="U844" s="71"/>
      <c r="V844" s="71"/>
      <c r="W844" s="71"/>
      <c r="X844" s="71"/>
      <c r="Y844" s="71"/>
      <c r="Z844" s="71"/>
      <c r="AA844" s="71"/>
      <c r="AB844" s="71"/>
      <c r="AC844" s="71"/>
      <c r="AD844" s="71"/>
      <c r="AE844" s="71"/>
      <c r="AF844" s="71"/>
      <c r="AG844" s="71"/>
      <c r="AH844" s="71"/>
      <c r="AI844" s="71"/>
      <c r="AJ844" s="71"/>
      <c r="AK844" s="71"/>
      <c r="AL844" s="71"/>
      <c r="AM844" s="71"/>
      <c r="AN844" s="71"/>
      <c r="AO844" s="71"/>
      <c r="AP844" s="71"/>
      <c r="AQ844" s="71"/>
      <c r="AR844" s="71"/>
      <c r="AS844" s="71"/>
      <c r="AT844" s="71"/>
    </row>
    <row r="845" spans="1:46" s="89" customFormat="1" ht="15.65" hidden="1" customHeight="1" x14ac:dyDescent="0.25">
      <c r="A845" s="246" t="s">
        <v>520</v>
      </c>
      <c r="B845" s="246"/>
      <c r="C845" s="162" t="s">
        <v>895</v>
      </c>
      <c r="D845" s="78" t="s">
        <v>368</v>
      </c>
      <c r="E845" s="243"/>
      <c r="F845" s="77"/>
      <c r="G845" s="247">
        <f>144.95*1.03</f>
        <v>149.29849999999999</v>
      </c>
      <c r="H845" s="247">
        <v>154.29849999999999</v>
      </c>
      <c r="I845" s="77"/>
      <c r="J845" s="77" t="s">
        <v>382</v>
      </c>
      <c r="K845" s="93">
        <v>45291</v>
      </c>
      <c r="L845" s="77" t="s">
        <v>371</v>
      </c>
      <c r="M845" s="77" t="s">
        <v>20</v>
      </c>
      <c r="N845" s="94" t="s">
        <v>893</v>
      </c>
      <c r="O845" s="71"/>
      <c r="P845" s="71"/>
      <c r="Q845" s="71"/>
      <c r="R845" s="71"/>
      <c r="S845" s="71"/>
      <c r="T845" s="71"/>
      <c r="U845" s="71"/>
      <c r="V845" s="71"/>
      <c r="W845" s="71"/>
      <c r="X845" s="71"/>
      <c r="Y845" s="71"/>
      <c r="Z845" s="71"/>
      <c r="AA845" s="71"/>
      <c r="AB845" s="71"/>
      <c r="AC845" s="71"/>
      <c r="AD845" s="71"/>
      <c r="AE845" s="71"/>
      <c r="AF845" s="71"/>
      <c r="AG845" s="71"/>
      <c r="AH845" s="71"/>
      <c r="AI845" s="71"/>
      <c r="AJ845" s="71"/>
      <c r="AK845" s="71"/>
      <c r="AL845" s="71"/>
      <c r="AM845" s="71"/>
      <c r="AN845" s="71"/>
      <c r="AO845" s="71"/>
      <c r="AP845" s="71"/>
      <c r="AQ845" s="71"/>
      <c r="AR845" s="71"/>
      <c r="AS845" s="71"/>
      <c r="AT845" s="71"/>
    </row>
    <row r="846" spans="1:46" s="89" customFormat="1" ht="15.65" hidden="1" customHeight="1" x14ac:dyDescent="0.25">
      <c r="A846" s="246" t="s">
        <v>610</v>
      </c>
      <c r="B846" s="246"/>
      <c r="C846" s="162" t="s">
        <v>611</v>
      </c>
      <c r="D846" s="78" t="s">
        <v>368</v>
      </c>
      <c r="E846" s="168"/>
      <c r="F846" s="77"/>
      <c r="G846" s="247">
        <v>46.5</v>
      </c>
      <c r="H846" s="247">
        <v>51.5</v>
      </c>
      <c r="I846" s="77"/>
      <c r="J846" s="77" t="s">
        <v>382</v>
      </c>
      <c r="K846" s="93">
        <v>45291</v>
      </c>
      <c r="L846" s="77" t="s">
        <v>371</v>
      </c>
      <c r="M846" s="77" t="s">
        <v>20</v>
      </c>
      <c r="N846" s="94" t="s">
        <v>893</v>
      </c>
      <c r="O846" s="71"/>
      <c r="P846" s="71"/>
      <c r="Q846" s="71"/>
      <c r="R846" s="71"/>
      <c r="S846" s="71"/>
      <c r="T846" s="71"/>
      <c r="U846" s="71"/>
      <c r="V846" s="71"/>
      <c r="W846" s="71"/>
      <c r="X846" s="71"/>
      <c r="Y846" s="71"/>
      <c r="Z846" s="71"/>
      <c r="AA846" s="71"/>
      <c r="AB846" s="71"/>
      <c r="AC846" s="71"/>
      <c r="AD846" s="71"/>
      <c r="AE846" s="71"/>
      <c r="AF846" s="71"/>
      <c r="AG846" s="71"/>
      <c r="AH846" s="71"/>
      <c r="AI846" s="71"/>
      <c r="AJ846" s="71"/>
      <c r="AK846" s="71"/>
      <c r="AL846" s="71"/>
      <c r="AM846" s="71"/>
      <c r="AN846" s="71"/>
      <c r="AO846" s="71"/>
      <c r="AP846" s="71"/>
      <c r="AQ846" s="71"/>
      <c r="AR846" s="71"/>
      <c r="AS846" s="71"/>
      <c r="AT846" s="71"/>
    </row>
    <row r="847" spans="1:46" s="89" customFormat="1" ht="15.65" hidden="1" customHeight="1" x14ac:dyDescent="0.25">
      <c r="A847" s="246" t="s">
        <v>642</v>
      </c>
      <c r="B847" s="246"/>
      <c r="C847" s="162" t="s">
        <v>643</v>
      </c>
      <c r="D847" s="78" t="s">
        <v>368</v>
      </c>
      <c r="E847" s="243"/>
      <c r="F847" s="77"/>
      <c r="G847" s="247">
        <v>212.5</v>
      </c>
      <c r="H847" s="247">
        <v>217.5</v>
      </c>
      <c r="I847" s="77"/>
      <c r="J847" s="77" t="s">
        <v>382</v>
      </c>
      <c r="K847" s="93">
        <v>45291</v>
      </c>
      <c r="L847" s="77" t="s">
        <v>371</v>
      </c>
      <c r="M847" s="77" t="s">
        <v>20</v>
      </c>
      <c r="N847" s="94" t="s">
        <v>893</v>
      </c>
      <c r="O847" s="71"/>
      <c r="P847" s="71"/>
      <c r="Q847" s="71"/>
      <c r="R847" s="71"/>
      <c r="S847" s="71"/>
      <c r="T847" s="71"/>
      <c r="U847" s="71"/>
      <c r="V847" s="71"/>
      <c r="W847" s="71"/>
      <c r="X847" s="71"/>
      <c r="Y847" s="71"/>
      <c r="Z847" s="71"/>
      <c r="AA847" s="71"/>
      <c r="AB847" s="71"/>
      <c r="AC847" s="71"/>
      <c r="AD847" s="71"/>
      <c r="AE847" s="71"/>
      <c r="AF847" s="71"/>
      <c r="AG847" s="71"/>
      <c r="AH847" s="71"/>
      <c r="AI847" s="71"/>
      <c r="AJ847" s="71"/>
      <c r="AK847" s="71"/>
      <c r="AL847" s="71"/>
      <c r="AM847" s="71"/>
      <c r="AN847" s="71"/>
      <c r="AO847" s="71"/>
      <c r="AP847" s="71"/>
      <c r="AQ847" s="71"/>
      <c r="AR847" s="71"/>
      <c r="AS847" s="71"/>
      <c r="AT847" s="71"/>
    </row>
    <row r="848" spans="1:46" s="89" customFormat="1" ht="15.65" hidden="1" customHeight="1" x14ac:dyDescent="0.25">
      <c r="A848" s="246" t="s">
        <v>896</v>
      </c>
      <c r="B848" s="246"/>
      <c r="C848" s="162" t="s">
        <v>897</v>
      </c>
      <c r="D848" s="78" t="s">
        <v>368</v>
      </c>
      <c r="E848" s="243"/>
      <c r="F848" s="77"/>
      <c r="G848" s="247">
        <v>191.4</v>
      </c>
      <c r="H848" s="247">
        <v>196.4</v>
      </c>
      <c r="I848" s="77"/>
      <c r="J848" s="77" t="s">
        <v>382</v>
      </c>
      <c r="K848" s="93">
        <v>45291</v>
      </c>
      <c r="L848" s="77" t="s">
        <v>371</v>
      </c>
      <c r="M848" s="77" t="s">
        <v>20</v>
      </c>
      <c r="N848" s="94" t="s">
        <v>893</v>
      </c>
      <c r="O848" s="71"/>
      <c r="P848" s="71"/>
      <c r="Q848" s="71"/>
      <c r="R848" s="71"/>
      <c r="S848" s="71"/>
      <c r="T848" s="71"/>
      <c r="U848" s="71"/>
      <c r="V848" s="71"/>
      <c r="W848" s="71"/>
      <c r="X848" s="71"/>
      <c r="Y848" s="71"/>
      <c r="Z848" s="71"/>
      <c r="AA848" s="71"/>
      <c r="AB848" s="71"/>
      <c r="AC848" s="71"/>
      <c r="AD848" s="71"/>
      <c r="AE848" s="71"/>
      <c r="AF848" s="71"/>
      <c r="AG848" s="71"/>
      <c r="AH848" s="71"/>
      <c r="AI848" s="71"/>
      <c r="AJ848" s="71"/>
      <c r="AK848" s="71"/>
      <c r="AL848" s="71"/>
      <c r="AM848" s="71"/>
      <c r="AN848" s="71"/>
      <c r="AO848" s="71"/>
      <c r="AP848" s="71"/>
      <c r="AQ848" s="71"/>
      <c r="AR848" s="71"/>
      <c r="AS848" s="71"/>
      <c r="AT848" s="71"/>
    </row>
    <row r="849" spans="1:46" ht="15.65" hidden="1" customHeight="1" x14ac:dyDescent="0.25">
      <c r="A849" s="249" t="s">
        <v>296</v>
      </c>
      <c r="B849" s="249"/>
      <c r="C849" s="158" t="s">
        <v>675</v>
      </c>
      <c r="D849" s="78" t="s">
        <v>368</v>
      </c>
      <c r="E849" s="243"/>
      <c r="F849" s="77"/>
      <c r="G849" s="115">
        <v>32.63355</v>
      </c>
      <c r="H849" s="247">
        <v>37.63355</v>
      </c>
      <c r="I849" s="77"/>
      <c r="J849" s="77" t="s">
        <v>898</v>
      </c>
      <c r="K849" s="93">
        <v>45291</v>
      </c>
      <c r="L849" s="77" t="s">
        <v>371</v>
      </c>
      <c r="M849" s="77" t="s">
        <v>100</v>
      </c>
      <c r="N849" s="94" t="s">
        <v>373</v>
      </c>
    </row>
    <row r="850" spans="1:46" ht="15.65" hidden="1" customHeight="1" x14ac:dyDescent="0.25">
      <c r="A850" s="281" t="s">
        <v>397</v>
      </c>
      <c r="B850" s="281"/>
      <c r="C850" s="162" t="s">
        <v>899</v>
      </c>
      <c r="D850" s="78" t="s">
        <v>368</v>
      </c>
      <c r="E850" s="243"/>
      <c r="F850" s="77"/>
      <c r="G850" s="247">
        <f>1.03*230</f>
        <v>236.9</v>
      </c>
      <c r="H850" s="247">
        <v>241.9</v>
      </c>
      <c r="I850" s="77"/>
      <c r="J850" s="77" t="s">
        <v>382</v>
      </c>
      <c r="K850" s="93">
        <v>45291</v>
      </c>
      <c r="L850" s="77" t="s">
        <v>371</v>
      </c>
      <c r="M850" s="77" t="s">
        <v>20</v>
      </c>
      <c r="N850" s="94" t="s">
        <v>893</v>
      </c>
    </row>
    <row r="851" spans="1:46" s="89" customFormat="1" ht="15.65" hidden="1" customHeight="1" x14ac:dyDescent="0.25">
      <c r="A851" s="274">
        <v>13.01</v>
      </c>
      <c r="B851" s="274"/>
      <c r="C851" s="158" t="s">
        <v>895</v>
      </c>
      <c r="D851" s="78" t="s">
        <v>368</v>
      </c>
      <c r="E851" s="243"/>
      <c r="F851" s="77"/>
      <c r="G851" s="115">
        <v>144.22724999999997</v>
      </c>
      <c r="H851" s="247">
        <v>149.22724999999997</v>
      </c>
      <c r="I851" s="77"/>
      <c r="J851" s="77" t="s">
        <v>370</v>
      </c>
      <c r="K851" s="93">
        <v>45291</v>
      </c>
      <c r="L851" s="77" t="s">
        <v>371</v>
      </c>
      <c r="M851" s="77" t="s">
        <v>372</v>
      </c>
      <c r="N851" s="94" t="s">
        <v>373</v>
      </c>
      <c r="O851" s="71"/>
      <c r="P851" s="71"/>
      <c r="Q851" s="71"/>
      <c r="R851" s="71"/>
      <c r="S851" s="71"/>
      <c r="T851" s="71"/>
      <c r="U851" s="71"/>
      <c r="V851" s="71"/>
      <c r="W851" s="71"/>
      <c r="X851" s="71"/>
      <c r="Y851" s="71"/>
      <c r="Z851" s="71"/>
      <c r="AA851" s="71"/>
      <c r="AB851" s="71"/>
      <c r="AC851" s="71"/>
      <c r="AD851" s="71"/>
      <c r="AE851" s="71"/>
      <c r="AF851" s="71"/>
      <c r="AG851" s="71"/>
      <c r="AH851" s="71"/>
      <c r="AI851" s="71"/>
      <c r="AJ851" s="71"/>
      <c r="AK851" s="71"/>
      <c r="AL851" s="71"/>
      <c r="AM851" s="71"/>
      <c r="AN851" s="71"/>
      <c r="AO851" s="71"/>
      <c r="AP851" s="71"/>
      <c r="AQ851" s="71"/>
      <c r="AR851" s="71"/>
      <c r="AS851" s="71"/>
      <c r="AT851" s="71"/>
    </row>
    <row r="852" spans="1:46" s="89" customFormat="1" ht="15.65" hidden="1" customHeight="1" x14ac:dyDescent="0.25">
      <c r="A852" s="264">
        <v>14.03</v>
      </c>
      <c r="B852" s="264"/>
      <c r="C852" s="242" t="s">
        <v>900</v>
      </c>
      <c r="D852" s="78" t="s">
        <v>368</v>
      </c>
      <c r="E852" s="243"/>
      <c r="F852" s="77"/>
      <c r="G852" s="250" t="s">
        <v>901</v>
      </c>
      <c r="H852" s="247">
        <v>117.32</v>
      </c>
      <c r="I852" s="77"/>
      <c r="J852" s="77" t="s">
        <v>437</v>
      </c>
      <c r="K852" s="93" t="s">
        <v>902</v>
      </c>
      <c r="L852" s="77" t="s">
        <v>903</v>
      </c>
      <c r="M852" s="77" t="s">
        <v>372</v>
      </c>
      <c r="N852" s="77" t="s">
        <v>443</v>
      </c>
      <c r="O852" s="71"/>
      <c r="P852" s="71"/>
      <c r="Q852" s="71"/>
      <c r="R852" s="71"/>
      <c r="S852" s="71"/>
      <c r="T852" s="71"/>
      <c r="U852" s="71"/>
      <c r="V852" s="71"/>
      <c r="W852" s="71"/>
      <c r="X852" s="71"/>
      <c r="Y852" s="71"/>
      <c r="Z852" s="71"/>
      <c r="AA852" s="71"/>
      <c r="AB852" s="71"/>
      <c r="AC852" s="71"/>
      <c r="AD852" s="71"/>
      <c r="AE852" s="71"/>
      <c r="AF852" s="71"/>
      <c r="AG852" s="71"/>
      <c r="AH852" s="71"/>
      <c r="AI852" s="71"/>
      <c r="AJ852" s="71"/>
      <c r="AK852" s="71"/>
      <c r="AL852" s="71"/>
      <c r="AM852" s="71"/>
      <c r="AN852" s="71"/>
      <c r="AO852" s="71"/>
      <c r="AP852" s="71"/>
      <c r="AQ852" s="71"/>
      <c r="AR852" s="71"/>
      <c r="AS852" s="71"/>
      <c r="AT852" s="71"/>
    </row>
    <row r="853" spans="1:46" s="89" customFormat="1" ht="15.65" hidden="1" customHeight="1" x14ac:dyDescent="0.25">
      <c r="A853" s="280">
        <v>19.010000000000002</v>
      </c>
      <c r="B853" s="280"/>
      <c r="C853" s="158" t="s">
        <v>904</v>
      </c>
      <c r="D853" s="78" t="s">
        <v>368</v>
      </c>
      <c r="E853" s="243"/>
      <c r="F853" s="77"/>
      <c r="G853" s="115">
        <v>55.84</v>
      </c>
      <c r="H853" s="247">
        <v>60.84</v>
      </c>
      <c r="I853" s="77"/>
      <c r="J853" s="77" t="s">
        <v>905</v>
      </c>
      <c r="K853" s="93">
        <v>45291</v>
      </c>
      <c r="L853" s="77" t="s">
        <v>371</v>
      </c>
      <c r="M853" s="77" t="s">
        <v>372</v>
      </c>
      <c r="N853" s="94" t="s">
        <v>373</v>
      </c>
      <c r="O853" s="71"/>
      <c r="P853" s="71"/>
      <c r="Q853" s="71"/>
      <c r="R853" s="71"/>
      <c r="S853" s="71"/>
      <c r="T853" s="71"/>
      <c r="U853" s="71"/>
      <c r="V853" s="71"/>
      <c r="W853" s="71"/>
      <c r="X853" s="71"/>
      <c r="Y853" s="71"/>
      <c r="Z853" s="71"/>
      <c r="AA853" s="71"/>
      <c r="AB853" s="71"/>
      <c r="AC853" s="71"/>
      <c r="AD853" s="71"/>
      <c r="AE853" s="71"/>
      <c r="AF853" s="71"/>
      <c r="AG853" s="71"/>
      <c r="AH853" s="71"/>
      <c r="AI853" s="71"/>
      <c r="AJ853" s="71"/>
      <c r="AK853" s="71"/>
      <c r="AL853" s="71"/>
      <c r="AM853" s="71"/>
      <c r="AN853" s="71"/>
      <c r="AO853" s="71"/>
      <c r="AP853" s="71"/>
      <c r="AQ853" s="71"/>
      <c r="AR853" s="71"/>
      <c r="AS853" s="71"/>
      <c r="AT853" s="71"/>
    </row>
    <row r="854" spans="1:46" ht="15.65" hidden="1" customHeight="1" x14ac:dyDescent="0.35">
      <c r="A854" s="264">
        <v>19.010000000000002</v>
      </c>
      <c r="B854" s="264"/>
      <c r="C854" s="242" t="s">
        <v>906</v>
      </c>
      <c r="D854" s="78" t="s">
        <v>368</v>
      </c>
      <c r="E854" s="243"/>
      <c r="F854" s="77"/>
      <c r="G854" s="250">
        <v>55.84</v>
      </c>
      <c r="H854" s="250">
        <v>60.84</v>
      </c>
      <c r="I854" s="77"/>
      <c r="J854" s="77" t="s">
        <v>437</v>
      </c>
      <c r="K854" s="93" t="s">
        <v>902</v>
      </c>
      <c r="L854" s="77" t="s">
        <v>903</v>
      </c>
      <c r="M854" s="77" t="s">
        <v>372</v>
      </c>
      <c r="N854" s="77" t="s">
        <v>443</v>
      </c>
    </row>
    <row r="855" spans="1:46" ht="15.65" hidden="1" customHeight="1" x14ac:dyDescent="0.25">
      <c r="A855" s="274">
        <v>22.607011</v>
      </c>
      <c r="B855" s="274"/>
      <c r="C855" s="158" t="s">
        <v>611</v>
      </c>
      <c r="D855" s="78" t="s">
        <v>368</v>
      </c>
      <c r="E855" s="168"/>
      <c r="F855" s="77"/>
      <c r="G855" s="115">
        <v>45.202500000000001</v>
      </c>
      <c r="H855" s="247">
        <v>50.202500000000001</v>
      </c>
      <c r="I855" s="77"/>
      <c r="J855" s="77" t="s">
        <v>907</v>
      </c>
      <c r="K855" s="93">
        <v>45291</v>
      </c>
      <c r="L855" s="77" t="s">
        <v>371</v>
      </c>
      <c r="M855" s="77" t="s">
        <v>372</v>
      </c>
      <c r="N855" s="94" t="s">
        <v>373</v>
      </c>
    </row>
    <row r="856" spans="1:46" s="89" customFormat="1" ht="15.65" hidden="1" customHeight="1" x14ac:dyDescent="0.35">
      <c r="A856" s="264">
        <v>22.607011</v>
      </c>
      <c r="B856" s="264"/>
      <c r="C856" s="158" t="s">
        <v>611</v>
      </c>
      <c r="D856" s="78" t="s">
        <v>368</v>
      </c>
      <c r="E856" s="168"/>
      <c r="F856" s="77"/>
      <c r="G856" s="250" t="s">
        <v>908</v>
      </c>
      <c r="H856" s="250" t="s">
        <v>909</v>
      </c>
      <c r="I856" s="77"/>
      <c r="J856" s="77" t="s">
        <v>437</v>
      </c>
      <c r="K856" s="93" t="s">
        <v>902</v>
      </c>
      <c r="L856" s="77" t="s">
        <v>903</v>
      </c>
      <c r="M856" s="77" t="s">
        <v>372</v>
      </c>
      <c r="N856" s="77" t="s">
        <v>443</v>
      </c>
      <c r="O856" s="71"/>
      <c r="P856" s="71"/>
      <c r="Q856" s="71"/>
      <c r="R856" s="71"/>
      <c r="S856" s="71"/>
      <c r="T856" s="71"/>
      <c r="U856" s="71"/>
      <c r="V856" s="71"/>
      <c r="W856" s="71"/>
      <c r="X856" s="71"/>
      <c r="Y856" s="71"/>
      <c r="Z856" s="71"/>
      <c r="AA856" s="71"/>
      <c r="AB856" s="71"/>
      <c r="AC856" s="71"/>
      <c r="AD856" s="71"/>
      <c r="AE856" s="71"/>
      <c r="AF856" s="71"/>
      <c r="AG856" s="71"/>
      <c r="AH856" s="71"/>
      <c r="AI856" s="71"/>
      <c r="AJ856" s="71"/>
      <c r="AK856" s="71"/>
      <c r="AL856" s="71"/>
      <c r="AM856" s="71"/>
      <c r="AN856" s="71"/>
      <c r="AO856" s="71"/>
      <c r="AP856" s="71"/>
      <c r="AQ856" s="71"/>
      <c r="AR856" s="71"/>
      <c r="AS856" s="71"/>
      <c r="AT856" s="71"/>
    </row>
    <row r="857" spans="1:46" s="96" customFormat="1" ht="15.65" hidden="1" customHeight="1" x14ac:dyDescent="0.25">
      <c r="A857" s="274">
        <v>23.06</v>
      </c>
      <c r="B857" s="274"/>
      <c r="C857" s="158" t="s">
        <v>643</v>
      </c>
      <c r="D857" s="78" t="s">
        <v>368</v>
      </c>
      <c r="E857" s="243"/>
      <c r="F857" s="77"/>
      <c r="G857" s="115">
        <v>210.66389999999998</v>
      </c>
      <c r="H857" s="247">
        <v>215.66389999999998</v>
      </c>
      <c r="I857" s="77"/>
      <c r="J857" s="77" t="s">
        <v>370</v>
      </c>
      <c r="K857" s="93">
        <v>45291</v>
      </c>
      <c r="L857" s="77" t="s">
        <v>371</v>
      </c>
      <c r="M857" s="77" t="s">
        <v>372</v>
      </c>
      <c r="N857" s="94" t="s">
        <v>373</v>
      </c>
      <c r="O857" s="95"/>
      <c r="P857" s="95"/>
      <c r="Q857" s="95"/>
      <c r="R857" s="95"/>
      <c r="S857" s="95"/>
      <c r="T857" s="95"/>
      <c r="U857" s="95"/>
      <c r="V857" s="95"/>
      <c r="W857" s="95"/>
      <c r="X857" s="95"/>
      <c r="Y857" s="95"/>
      <c r="Z857" s="95"/>
      <c r="AA857" s="95"/>
      <c r="AB857" s="95"/>
      <c r="AC857" s="95"/>
      <c r="AD857" s="95"/>
      <c r="AE857" s="95"/>
      <c r="AF857" s="95"/>
      <c r="AG857" s="95"/>
      <c r="AH857" s="95"/>
      <c r="AI857" s="95"/>
      <c r="AJ857" s="95"/>
      <c r="AK857" s="95"/>
      <c r="AL857" s="95"/>
      <c r="AM857" s="95"/>
      <c r="AN857" s="95"/>
      <c r="AO857" s="95"/>
      <c r="AP857" s="95"/>
      <c r="AQ857" s="95"/>
      <c r="AR857" s="95"/>
      <c r="AS857" s="95"/>
      <c r="AT857" s="95"/>
    </row>
    <row r="858" spans="1:46" s="89" customFormat="1" ht="15.65" hidden="1" customHeight="1" x14ac:dyDescent="0.25">
      <c r="A858" s="274">
        <v>29.01</v>
      </c>
      <c r="B858" s="274"/>
      <c r="C858" s="158" t="s">
        <v>897</v>
      </c>
      <c r="D858" s="78" t="s">
        <v>368</v>
      </c>
      <c r="E858" s="243"/>
      <c r="F858" s="77"/>
      <c r="G858" s="115">
        <v>131.44499999999999</v>
      </c>
      <c r="H858" s="247">
        <v>136.44499999999999</v>
      </c>
      <c r="I858" s="77"/>
      <c r="J858" s="77" t="s">
        <v>907</v>
      </c>
      <c r="K858" s="93">
        <v>45291</v>
      </c>
      <c r="L858" s="77" t="s">
        <v>371</v>
      </c>
      <c r="M858" s="77" t="s">
        <v>372</v>
      </c>
      <c r="N858" s="94" t="s">
        <v>373</v>
      </c>
      <c r="O858" s="71"/>
      <c r="P858" s="71"/>
      <c r="Q858" s="71"/>
      <c r="R858" s="71"/>
      <c r="S858" s="71"/>
      <c r="T858" s="71"/>
      <c r="U858" s="71"/>
      <c r="V858" s="71"/>
      <c r="W858" s="71"/>
      <c r="X858" s="71"/>
      <c r="Y858" s="71"/>
      <c r="Z858" s="71"/>
      <c r="AA858" s="71"/>
      <c r="AB858" s="71"/>
      <c r="AC858" s="71"/>
      <c r="AD858" s="71"/>
      <c r="AE858" s="71"/>
      <c r="AF858" s="71"/>
      <c r="AG858" s="71"/>
      <c r="AH858" s="71"/>
      <c r="AI858" s="71"/>
      <c r="AJ858" s="71"/>
      <c r="AK858" s="71"/>
      <c r="AL858" s="71"/>
      <c r="AM858" s="71"/>
      <c r="AN858" s="71"/>
      <c r="AO858" s="71"/>
      <c r="AP858" s="71"/>
      <c r="AQ858" s="71"/>
      <c r="AR858" s="71"/>
      <c r="AS858" s="71"/>
      <c r="AT858" s="71"/>
    </row>
    <row r="859" spans="1:46" s="89" customFormat="1" ht="15.65" hidden="1" customHeight="1" x14ac:dyDescent="0.25">
      <c r="A859" s="264">
        <v>32.01</v>
      </c>
      <c r="B859" s="264"/>
      <c r="C859" s="242" t="s">
        <v>910</v>
      </c>
      <c r="D859" s="78" t="s">
        <v>368</v>
      </c>
      <c r="E859" s="243"/>
      <c r="F859" s="77"/>
      <c r="G859" s="247">
        <v>93.5</v>
      </c>
      <c r="H859" s="247">
        <v>98.5</v>
      </c>
      <c r="I859" s="77"/>
      <c r="J859" s="77" t="s">
        <v>437</v>
      </c>
      <c r="K859" s="93" t="s">
        <v>902</v>
      </c>
      <c r="L859" s="77" t="s">
        <v>903</v>
      </c>
      <c r="M859" s="77" t="s">
        <v>372</v>
      </c>
      <c r="N859" s="94" t="s">
        <v>373</v>
      </c>
      <c r="O859" s="71"/>
      <c r="P859" s="71"/>
      <c r="Q859" s="71"/>
      <c r="R859" s="71"/>
      <c r="S859" s="71"/>
      <c r="T859" s="71"/>
      <c r="U859" s="71"/>
      <c r="V859" s="71"/>
      <c r="W859" s="71"/>
      <c r="X859" s="71"/>
      <c r="Y859" s="71"/>
      <c r="Z859" s="71"/>
      <c r="AA859" s="71"/>
      <c r="AB859" s="71"/>
      <c r="AC859" s="71"/>
      <c r="AD859" s="71"/>
      <c r="AE859" s="71"/>
      <c r="AF859" s="71"/>
      <c r="AG859" s="71"/>
      <c r="AH859" s="71"/>
      <c r="AI859" s="71"/>
      <c r="AJ859" s="71"/>
      <c r="AK859" s="71"/>
      <c r="AL859" s="71"/>
      <c r="AM859" s="71"/>
      <c r="AN859" s="71"/>
      <c r="AO859" s="71"/>
      <c r="AP859" s="71"/>
      <c r="AQ859" s="71"/>
      <c r="AR859" s="71"/>
      <c r="AS859" s="71"/>
      <c r="AT859" s="71"/>
    </row>
    <row r="860" spans="1:46" s="89" customFormat="1" ht="15.65" hidden="1" customHeight="1" x14ac:dyDescent="0.25">
      <c r="A860" s="264">
        <v>33.01</v>
      </c>
      <c r="B860" s="264"/>
      <c r="C860" s="242" t="s">
        <v>911</v>
      </c>
      <c r="D860" s="78" t="s">
        <v>368</v>
      </c>
      <c r="E860" s="243"/>
      <c r="F860" s="77"/>
      <c r="G860" s="251">
        <v>109.46</v>
      </c>
      <c r="H860" s="251">
        <v>114.46</v>
      </c>
      <c r="I860" s="77"/>
      <c r="J860" s="77" t="s">
        <v>437</v>
      </c>
      <c r="K860" s="93" t="s">
        <v>902</v>
      </c>
      <c r="L860" s="77" t="s">
        <v>903</v>
      </c>
      <c r="M860" s="77" t="s">
        <v>372</v>
      </c>
      <c r="N860" s="77" t="s">
        <v>443</v>
      </c>
      <c r="O860" s="71"/>
      <c r="P860" s="71"/>
      <c r="Q860" s="71"/>
      <c r="R860" s="71"/>
      <c r="S860" s="71"/>
      <c r="T860" s="71"/>
      <c r="U860" s="71"/>
      <c r="V860" s="71"/>
      <c r="W860" s="71"/>
      <c r="X860" s="71"/>
      <c r="Y860" s="71"/>
      <c r="Z860" s="71"/>
      <c r="AA860" s="71"/>
      <c r="AB860" s="71"/>
      <c r="AC860" s="71"/>
      <c r="AD860" s="71"/>
      <c r="AE860" s="71"/>
      <c r="AF860" s="71"/>
      <c r="AG860" s="71"/>
      <c r="AH860" s="71"/>
      <c r="AI860" s="71"/>
      <c r="AJ860" s="71"/>
      <c r="AK860" s="71"/>
      <c r="AL860" s="71"/>
      <c r="AM860" s="71"/>
      <c r="AN860" s="71"/>
      <c r="AO860" s="71"/>
      <c r="AP860" s="71"/>
      <c r="AQ860" s="71"/>
      <c r="AR860" s="71"/>
      <c r="AS860" s="71"/>
      <c r="AT860" s="71"/>
    </row>
    <row r="861" spans="1:46" ht="15.65" hidden="1" customHeight="1" x14ac:dyDescent="0.35">
      <c r="A861" s="264">
        <v>43.02</v>
      </c>
      <c r="B861" s="264"/>
      <c r="C861" s="242" t="s">
        <v>912</v>
      </c>
      <c r="D861" s="78" t="s">
        <v>368</v>
      </c>
      <c r="E861" s="243"/>
      <c r="F861" s="77"/>
      <c r="G861" s="250" t="s">
        <v>913</v>
      </c>
      <c r="H861" s="250" t="s">
        <v>914</v>
      </c>
      <c r="I861" s="77"/>
      <c r="J861" s="77" t="s">
        <v>437</v>
      </c>
      <c r="K861" s="93" t="s">
        <v>902</v>
      </c>
      <c r="L861" s="77" t="s">
        <v>903</v>
      </c>
      <c r="M861" s="77" t="s">
        <v>372</v>
      </c>
      <c r="N861" s="77" t="s">
        <v>443</v>
      </c>
    </row>
    <row r="862" spans="1:46" ht="15.65" hidden="1" customHeight="1" x14ac:dyDescent="0.25">
      <c r="A862" s="274">
        <v>48.002000000000002</v>
      </c>
      <c r="B862" s="274"/>
      <c r="C862" s="158" t="s">
        <v>746</v>
      </c>
      <c r="D862" s="78" t="s">
        <v>368</v>
      </c>
      <c r="E862" s="243"/>
      <c r="F862" s="77"/>
      <c r="G862" s="115">
        <v>211.96799999999999</v>
      </c>
      <c r="H862" s="247">
        <v>216.96799999999999</v>
      </c>
      <c r="I862" s="77"/>
      <c r="J862" s="77" t="s">
        <v>370</v>
      </c>
      <c r="K862" s="93">
        <v>45291</v>
      </c>
      <c r="L862" s="77" t="s">
        <v>371</v>
      </c>
      <c r="M862" s="77" t="s">
        <v>372</v>
      </c>
      <c r="N862" s="94" t="s">
        <v>373</v>
      </c>
    </row>
    <row r="863" spans="1:46" ht="15.65" hidden="1" customHeight="1" x14ac:dyDescent="0.25">
      <c r="A863" s="274">
        <v>48.002000000000002</v>
      </c>
      <c r="B863" s="274"/>
      <c r="C863" s="158" t="s">
        <v>746</v>
      </c>
      <c r="D863" s="78" t="s">
        <v>368</v>
      </c>
      <c r="E863" s="243"/>
      <c r="F863" s="77"/>
      <c r="G863" s="115">
        <v>230</v>
      </c>
      <c r="H863" s="247">
        <v>235</v>
      </c>
      <c r="I863" s="77"/>
      <c r="J863" s="77" t="s">
        <v>907</v>
      </c>
      <c r="K863" s="93">
        <v>45291</v>
      </c>
      <c r="L863" s="77" t="s">
        <v>371</v>
      </c>
      <c r="M863" s="77" t="s">
        <v>372</v>
      </c>
      <c r="N863" s="94" t="s">
        <v>373</v>
      </c>
    </row>
    <row r="864" spans="1:46" ht="15.65" hidden="1" customHeight="1" x14ac:dyDescent="0.35">
      <c r="A864" s="264">
        <v>48.507095</v>
      </c>
      <c r="B864" s="264"/>
      <c r="C864" s="242" t="s">
        <v>915</v>
      </c>
      <c r="D864" s="78" t="s">
        <v>368</v>
      </c>
      <c r="E864" s="243"/>
      <c r="F864" s="245"/>
      <c r="G864" s="250">
        <v>40.15</v>
      </c>
      <c r="H864" s="250">
        <v>45.15</v>
      </c>
      <c r="I864" s="77"/>
      <c r="J864" s="77" t="s">
        <v>916</v>
      </c>
      <c r="K864" s="245">
        <v>45016</v>
      </c>
      <c r="L864" s="77" t="s">
        <v>917</v>
      </c>
      <c r="M864" s="77" t="s">
        <v>100</v>
      </c>
      <c r="N864" s="77" t="s">
        <v>443</v>
      </c>
    </row>
    <row r="865" spans="1:46" ht="15.65" hidden="1" customHeight="1" x14ac:dyDescent="0.35">
      <c r="A865" s="264">
        <v>48.507095</v>
      </c>
      <c r="B865" s="264"/>
      <c r="C865" s="242" t="s">
        <v>915</v>
      </c>
      <c r="D865" s="78" t="s">
        <v>368</v>
      </c>
      <c r="E865" s="243"/>
      <c r="F865" s="245"/>
      <c r="G865" s="250">
        <v>40.15</v>
      </c>
      <c r="H865" s="250">
        <v>45.15</v>
      </c>
      <c r="I865" s="77"/>
      <c r="J865" s="245" t="s">
        <v>918</v>
      </c>
      <c r="K865" s="245">
        <v>45016</v>
      </c>
      <c r="L865" s="77" t="s">
        <v>919</v>
      </c>
      <c r="M865" s="77" t="s">
        <v>20</v>
      </c>
      <c r="N865" s="77" t="s">
        <v>920</v>
      </c>
    </row>
    <row r="866" spans="1:46" ht="23.5" hidden="1" customHeight="1" x14ac:dyDescent="0.25">
      <c r="A866" s="274">
        <v>49.03</v>
      </c>
      <c r="B866" s="274"/>
      <c r="C866" s="158" t="s">
        <v>765</v>
      </c>
      <c r="D866" s="78" t="s">
        <v>368</v>
      </c>
      <c r="E866" s="243"/>
      <c r="F866" s="77"/>
      <c r="G866" s="115">
        <v>69.241500000000002</v>
      </c>
      <c r="H866" s="247">
        <v>74.241500000000002</v>
      </c>
      <c r="I866" s="77"/>
      <c r="J866" s="77" t="s">
        <v>921</v>
      </c>
      <c r="K866" s="93">
        <v>45291</v>
      </c>
      <c r="L866" s="77" t="s">
        <v>371</v>
      </c>
      <c r="M866" s="77" t="s">
        <v>20</v>
      </c>
      <c r="N866" s="94" t="s">
        <v>373</v>
      </c>
    </row>
    <row r="867" spans="1:46" ht="15.65" hidden="1" customHeight="1" x14ac:dyDescent="0.25">
      <c r="A867" s="446">
        <v>51.097506000000003</v>
      </c>
      <c r="B867" s="459"/>
      <c r="C867" s="158" t="s">
        <v>922</v>
      </c>
      <c r="D867" s="78" t="s">
        <v>368</v>
      </c>
      <c r="E867" s="243"/>
      <c r="F867" s="77"/>
      <c r="G867" s="115">
        <v>26.651249999999997</v>
      </c>
      <c r="H867" s="247">
        <v>31.651249999999997</v>
      </c>
      <c r="I867" s="77"/>
      <c r="J867" s="77" t="s">
        <v>370</v>
      </c>
      <c r="K867" s="93">
        <v>45291</v>
      </c>
      <c r="L867" s="77" t="s">
        <v>371</v>
      </c>
      <c r="M867" s="77" t="s">
        <v>372</v>
      </c>
      <c r="N867" s="94" t="s">
        <v>373</v>
      </c>
    </row>
    <row r="868" spans="1:46" ht="15.65" hidden="1" customHeight="1" x14ac:dyDescent="0.25">
      <c r="A868" s="274">
        <v>51.44</v>
      </c>
      <c r="B868" s="274"/>
      <c r="C868" s="158" t="s">
        <v>786</v>
      </c>
      <c r="D868" s="78" t="s">
        <v>368</v>
      </c>
      <c r="E868" s="243"/>
      <c r="F868" s="77"/>
      <c r="G868" s="115">
        <v>47.371949999999998</v>
      </c>
      <c r="H868" s="247">
        <v>52.371949999999998</v>
      </c>
      <c r="I868" s="77"/>
      <c r="J868" s="77" t="s">
        <v>923</v>
      </c>
      <c r="K868" s="93">
        <v>45291</v>
      </c>
      <c r="L868" s="77" t="s">
        <v>371</v>
      </c>
      <c r="M868" s="77" t="s">
        <v>372</v>
      </c>
      <c r="N868" s="94" t="s">
        <v>373</v>
      </c>
    </row>
    <row r="869" spans="1:46" ht="15.65" hidden="1" customHeight="1" x14ac:dyDescent="0.25">
      <c r="A869" s="264">
        <v>51.987923000000002</v>
      </c>
      <c r="B869" s="264"/>
      <c r="C869" s="242" t="s">
        <v>924</v>
      </c>
      <c r="D869" s="78" t="s">
        <v>368</v>
      </c>
      <c r="E869" s="243"/>
      <c r="F869" s="77"/>
      <c r="G869" s="115">
        <v>38</v>
      </c>
      <c r="H869" s="247">
        <v>43</v>
      </c>
      <c r="I869" s="77"/>
      <c r="J869" s="77" t="s">
        <v>437</v>
      </c>
      <c r="K869" s="93" t="s">
        <v>902</v>
      </c>
      <c r="L869" s="77" t="s">
        <v>903</v>
      </c>
      <c r="M869" s="77" t="s">
        <v>372</v>
      </c>
      <c r="N869" s="77" t="s">
        <v>443</v>
      </c>
    </row>
    <row r="870" spans="1:46" ht="15.65" hidden="1" customHeight="1" x14ac:dyDescent="0.25">
      <c r="A870" s="274">
        <v>56.01</v>
      </c>
      <c r="B870" s="274"/>
      <c r="C870" s="158" t="s">
        <v>925</v>
      </c>
      <c r="D870" s="78" t="s">
        <v>368</v>
      </c>
      <c r="E870" s="243"/>
      <c r="F870" s="77"/>
      <c r="G870" s="115">
        <v>103.49999999999999</v>
      </c>
      <c r="H870" s="247">
        <v>108.49999999999999</v>
      </c>
      <c r="I870" s="77"/>
      <c r="J870" s="77" t="s">
        <v>898</v>
      </c>
      <c r="K870" s="93">
        <v>45291</v>
      </c>
      <c r="L870" s="77" t="s">
        <v>371</v>
      </c>
      <c r="M870" s="77" t="s">
        <v>20</v>
      </c>
      <c r="N870" s="94" t="s">
        <v>373</v>
      </c>
    </row>
    <row r="871" spans="1:46" s="89" customFormat="1" ht="15.65" hidden="1" customHeight="1" x14ac:dyDescent="0.25">
      <c r="A871" s="274">
        <v>58.007449000000001</v>
      </c>
      <c r="B871" s="274"/>
      <c r="C871" s="158" t="s">
        <v>926</v>
      </c>
      <c r="D871" s="78" t="s">
        <v>368</v>
      </c>
      <c r="E871" s="243"/>
      <c r="F871" s="77"/>
      <c r="G871" s="115">
        <v>33.844500000000004</v>
      </c>
      <c r="H871" s="247">
        <v>38.844500000000004</v>
      </c>
      <c r="I871" s="77"/>
      <c r="J871" s="77" t="s">
        <v>907</v>
      </c>
      <c r="K871" s="93">
        <v>45291</v>
      </c>
      <c r="L871" s="77" t="s">
        <v>371</v>
      </c>
      <c r="M871" s="77" t="s">
        <v>372</v>
      </c>
      <c r="N871" s="94" t="s">
        <v>373</v>
      </c>
      <c r="O871" s="71"/>
      <c r="P871" s="71"/>
      <c r="Q871" s="71"/>
      <c r="R871" s="71"/>
      <c r="S871" s="71"/>
      <c r="T871" s="71"/>
      <c r="U871" s="71"/>
      <c r="V871" s="71"/>
      <c r="W871" s="71"/>
      <c r="X871" s="71"/>
      <c r="Y871" s="71"/>
      <c r="Z871" s="71"/>
      <c r="AA871" s="71"/>
      <c r="AB871" s="71"/>
      <c r="AC871" s="71"/>
      <c r="AD871" s="71"/>
      <c r="AE871" s="71"/>
      <c r="AF871" s="71"/>
      <c r="AG871" s="71"/>
      <c r="AH871" s="71"/>
      <c r="AI871" s="71"/>
      <c r="AJ871" s="71"/>
      <c r="AK871" s="71"/>
      <c r="AL871" s="71"/>
      <c r="AM871" s="71"/>
      <c r="AN871" s="71"/>
      <c r="AO871" s="71"/>
      <c r="AP871" s="71"/>
      <c r="AQ871" s="71"/>
      <c r="AR871" s="71"/>
      <c r="AS871" s="71"/>
      <c r="AT871" s="71"/>
    </row>
    <row r="872" spans="1:46" s="89" customFormat="1" ht="15.65" hidden="1" customHeight="1" x14ac:dyDescent="0.35">
      <c r="A872" s="264">
        <v>58.07</v>
      </c>
      <c r="B872" s="264"/>
      <c r="C872" s="242" t="s">
        <v>927</v>
      </c>
      <c r="D872" s="78" t="s">
        <v>368</v>
      </c>
      <c r="E872" s="243"/>
      <c r="F872" s="244"/>
      <c r="G872" s="250">
        <v>24.35</v>
      </c>
      <c r="H872" s="250">
        <v>29.35</v>
      </c>
      <c r="I872" s="77"/>
      <c r="J872" s="77" t="s">
        <v>928</v>
      </c>
      <c r="K872" s="245">
        <v>45016</v>
      </c>
      <c r="L872" s="77" t="s">
        <v>917</v>
      </c>
      <c r="M872" s="77" t="s">
        <v>100</v>
      </c>
      <c r="N872" s="77" t="s">
        <v>929</v>
      </c>
      <c r="O872" s="71"/>
      <c r="P872" s="71"/>
      <c r="Q872" s="71"/>
      <c r="R872" s="71"/>
      <c r="S872" s="71"/>
      <c r="T872" s="71"/>
      <c r="U872" s="71"/>
      <c r="V872" s="71"/>
      <c r="W872" s="71"/>
      <c r="X872" s="71"/>
      <c r="Y872" s="71"/>
      <c r="Z872" s="71"/>
      <c r="AA872" s="71"/>
      <c r="AB872" s="71"/>
      <c r="AC872" s="71"/>
      <c r="AD872" s="71"/>
      <c r="AE872" s="71"/>
      <c r="AF872" s="71"/>
      <c r="AG872" s="71"/>
      <c r="AH872" s="71"/>
      <c r="AI872" s="71"/>
      <c r="AJ872" s="71"/>
      <c r="AK872" s="71"/>
      <c r="AL872" s="71"/>
      <c r="AM872" s="71"/>
      <c r="AN872" s="71"/>
      <c r="AO872" s="71"/>
      <c r="AP872" s="71"/>
      <c r="AQ872" s="71"/>
      <c r="AR872" s="71"/>
      <c r="AS872" s="71"/>
      <c r="AT872" s="71"/>
    </row>
    <row r="873" spans="1:46" s="89" customFormat="1" ht="15.65" hidden="1" customHeight="1" x14ac:dyDescent="0.25">
      <c r="A873" s="446">
        <v>70.040000000000006</v>
      </c>
      <c r="B873" s="459"/>
      <c r="C873" s="158" t="s">
        <v>930</v>
      </c>
      <c r="D873" s="78" t="s">
        <v>368</v>
      </c>
      <c r="E873" s="243"/>
      <c r="F873" s="77"/>
      <c r="G873" s="115">
        <v>25.305749999999996</v>
      </c>
      <c r="H873" s="247">
        <v>30.305749999999996</v>
      </c>
      <c r="I873" s="77"/>
      <c r="J873" s="77" t="s">
        <v>370</v>
      </c>
      <c r="K873" s="93">
        <v>45291</v>
      </c>
      <c r="L873" s="77" t="s">
        <v>371</v>
      </c>
      <c r="M873" s="77" t="s">
        <v>372</v>
      </c>
      <c r="N873" s="94" t="s">
        <v>373</v>
      </c>
      <c r="O873" s="71"/>
      <c r="P873" s="71"/>
      <c r="Q873" s="71"/>
      <c r="R873" s="71"/>
      <c r="S873" s="71"/>
      <c r="T873" s="71"/>
      <c r="U873" s="71"/>
      <c r="V873" s="71"/>
      <c r="W873" s="71"/>
      <c r="X873" s="71"/>
      <c r="Y873" s="71"/>
      <c r="Z873" s="71"/>
      <c r="AA873" s="71"/>
      <c r="AB873" s="71"/>
      <c r="AC873" s="71"/>
      <c r="AD873" s="71"/>
      <c r="AE873" s="71"/>
      <c r="AF873" s="71"/>
      <c r="AG873" s="71"/>
      <c r="AH873" s="71"/>
      <c r="AI873" s="71"/>
      <c r="AJ873" s="71"/>
      <c r="AK873" s="71"/>
      <c r="AL873" s="71"/>
      <c r="AM873" s="71"/>
      <c r="AN873" s="71"/>
      <c r="AO873" s="71"/>
      <c r="AP873" s="71"/>
      <c r="AQ873" s="71"/>
      <c r="AR873" s="71"/>
      <c r="AS873" s="71"/>
      <c r="AT873" s="71"/>
    </row>
    <row r="874" spans="1:46" ht="15.65" hidden="1" customHeight="1" x14ac:dyDescent="0.25">
      <c r="A874" s="246" t="s">
        <v>430</v>
      </c>
      <c r="B874" s="246"/>
      <c r="C874" s="162" t="s">
        <v>431</v>
      </c>
      <c r="D874" s="78" t="s">
        <v>368</v>
      </c>
      <c r="E874" s="243"/>
      <c r="F874" s="77"/>
      <c r="G874" s="247">
        <v>43</v>
      </c>
      <c r="H874" s="247">
        <v>48</v>
      </c>
      <c r="I874" s="77"/>
      <c r="J874" s="77" t="s">
        <v>382</v>
      </c>
      <c r="K874" s="93">
        <v>45291</v>
      </c>
      <c r="L874" s="77" t="s">
        <v>371</v>
      </c>
      <c r="M874" s="77" t="s">
        <v>20</v>
      </c>
      <c r="N874" s="94" t="s">
        <v>931</v>
      </c>
    </row>
    <row r="875" spans="1:46" ht="15.65" hidden="1" customHeight="1" x14ac:dyDescent="0.25">
      <c r="A875" s="442" t="s">
        <v>430</v>
      </c>
      <c r="B875" s="442"/>
      <c r="C875" s="158" t="s">
        <v>431</v>
      </c>
      <c r="D875" s="78" t="s">
        <v>368</v>
      </c>
      <c r="E875" s="243"/>
      <c r="F875" s="77"/>
      <c r="G875" s="115">
        <v>32.8095</v>
      </c>
      <c r="H875" s="247">
        <v>37.8095</v>
      </c>
      <c r="I875" s="77"/>
      <c r="J875" s="77" t="s">
        <v>370</v>
      </c>
      <c r="K875" s="93">
        <v>45291</v>
      </c>
      <c r="L875" s="77" t="s">
        <v>371</v>
      </c>
      <c r="M875" s="77" t="s">
        <v>372</v>
      </c>
      <c r="N875" s="94" t="s">
        <v>373</v>
      </c>
    </row>
    <row r="876" spans="1:46" ht="15.65" hidden="1" customHeight="1" x14ac:dyDescent="0.35">
      <c r="A876" s="268" t="s">
        <v>435</v>
      </c>
      <c r="B876" s="268"/>
      <c r="C876" s="77" t="s">
        <v>932</v>
      </c>
      <c r="D876" s="78" t="s">
        <v>368</v>
      </c>
      <c r="E876" s="243"/>
      <c r="F876" s="77"/>
      <c r="G876" s="115">
        <v>23.8</v>
      </c>
      <c r="H876" s="115">
        <f>G876+5</f>
        <v>28.8</v>
      </c>
      <c r="I876" s="77"/>
      <c r="J876" s="77" t="s">
        <v>933</v>
      </c>
      <c r="K876" s="93">
        <v>45291</v>
      </c>
      <c r="L876" s="94" t="s">
        <v>934</v>
      </c>
      <c r="M876" s="77" t="s">
        <v>20</v>
      </c>
      <c r="N876" s="94" t="s">
        <v>920</v>
      </c>
    </row>
    <row r="877" spans="1:46" ht="15.65" hidden="1" customHeight="1" x14ac:dyDescent="0.25">
      <c r="A877" s="281" t="s">
        <v>121</v>
      </c>
      <c r="B877" s="281"/>
      <c r="C877" s="162" t="s">
        <v>935</v>
      </c>
      <c r="D877" s="78" t="s">
        <v>368</v>
      </c>
      <c r="E877" s="243"/>
      <c r="F877" s="77"/>
      <c r="G877" s="247">
        <v>18.3</v>
      </c>
      <c r="H877" s="247">
        <v>23.3</v>
      </c>
      <c r="I877" s="77"/>
      <c r="J877" s="77" t="s">
        <v>382</v>
      </c>
      <c r="K877" s="93">
        <v>45291</v>
      </c>
      <c r="L877" s="77" t="s">
        <v>371</v>
      </c>
      <c r="M877" s="77" t="s">
        <v>20</v>
      </c>
      <c r="N877" s="94" t="s">
        <v>893</v>
      </c>
    </row>
    <row r="878" spans="1:46" s="89" customFormat="1" ht="15.65" hidden="1" customHeight="1" x14ac:dyDescent="0.25">
      <c r="A878" s="281" t="s">
        <v>127</v>
      </c>
      <c r="B878" s="281"/>
      <c r="C878" s="162" t="s">
        <v>440</v>
      </c>
      <c r="D878" s="78" t="s">
        <v>368</v>
      </c>
      <c r="E878" s="243"/>
      <c r="F878" s="77"/>
      <c r="G878" s="247">
        <v>34.799999999999997</v>
      </c>
      <c r="H878" s="247">
        <v>39.799999999999997</v>
      </c>
      <c r="I878" s="77"/>
      <c r="J878" s="77" t="s">
        <v>382</v>
      </c>
      <c r="K878" s="93">
        <v>45291</v>
      </c>
      <c r="L878" s="77" t="s">
        <v>371</v>
      </c>
      <c r="M878" s="77" t="s">
        <v>20</v>
      </c>
      <c r="N878" s="94" t="s">
        <v>893</v>
      </c>
      <c r="O878" s="71"/>
      <c r="P878" s="71"/>
      <c r="Q878" s="71"/>
      <c r="R878" s="71"/>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c r="AS878" s="71"/>
      <c r="AT878" s="71"/>
    </row>
    <row r="879" spans="1:46" s="89" customFormat="1" ht="15.65" hidden="1" customHeight="1" x14ac:dyDescent="0.25">
      <c r="A879" s="273" t="s">
        <v>131</v>
      </c>
      <c r="B879" s="273"/>
      <c r="C879" s="158" t="s">
        <v>935</v>
      </c>
      <c r="D879" s="78" t="s">
        <v>368</v>
      </c>
      <c r="E879" s="243"/>
      <c r="F879" s="77"/>
      <c r="G879" s="115">
        <v>21.734999999999999</v>
      </c>
      <c r="H879" s="247">
        <v>26.734999999999999</v>
      </c>
      <c r="I879" s="77"/>
      <c r="J879" s="77" t="s">
        <v>907</v>
      </c>
      <c r="K879" s="93">
        <v>45291</v>
      </c>
      <c r="L879" s="77" t="s">
        <v>371</v>
      </c>
      <c r="M879" s="77" t="s">
        <v>372</v>
      </c>
      <c r="N879" s="94" t="s">
        <v>373</v>
      </c>
      <c r="O879" s="71"/>
      <c r="P879" s="71"/>
      <c r="Q879" s="71"/>
      <c r="R879" s="71"/>
      <c r="S879" s="71"/>
      <c r="T879" s="71"/>
      <c r="U879" s="71"/>
      <c r="V879" s="71"/>
      <c r="W879" s="71"/>
      <c r="X879" s="71"/>
      <c r="Y879" s="71"/>
      <c r="Z879" s="71"/>
      <c r="AA879" s="71"/>
      <c r="AB879" s="71"/>
      <c r="AC879" s="71"/>
      <c r="AD879" s="71"/>
      <c r="AE879" s="71"/>
      <c r="AF879" s="71"/>
      <c r="AG879" s="71"/>
      <c r="AH879" s="71"/>
      <c r="AI879" s="71"/>
      <c r="AJ879" s="71"/>
      <c r="AK879" s="71"/>
      <c r="AL879" s="71"/>
      <c r="AM879" s="71"/>
      <c r="AN879" s="71"/>
      <c r="AO879" s="71"/>
      <c r="AP879" s="71"/>
      <c r="AQ879" s="71"/>
      <c r="AR879" s="71"/>
      <c r="AS879" s="71"/>
      <c r="AT879" s="71"/>
    </row>
    <row r="880" spans="1:46" s="89" customFormat="1" ht="15.65" hidden="1" customHeight="1" x14ac:dyDescent="0.25">
      <c r="A880" s="273" t="s">
        <v>131</v>
      </c>
      <c r="B880" s="273"/>
      <c r="C880" s="158" t="s">
        <v>935</v>
      </c>
      <c r="D880" s="78" t="s">
        <v>368</v>
      </c>
      <c r="E880" s="243"/>
      <c r="F880" s="77"/>
      <c r="G880" s="115">
        <v>21.734999999999999</v>
      </c>
      <c r="H880" s="247">
        <v>26.734999999999999</v>
      </c>
      <c r="I880" s="77"/>
      <c r="J880" s="77" t="s">
        <v>936</v>
      </c>
      <c r="K880" s="93">
        <v>45291</v>
      </c>
      <c r="L880" s="77" t="s">
        <v>937</v>
      </c>
      <c r="M880" s="77"/>
      <c r="N880" s="94"/>
      <c r="O880" s="71"/>
      <c r="P880" s="71"/>
      <c r="Q880" s="71"/>
      <c r="R880" s="71"/>
      <c r="S880" s="71"/>
      <c r="T880" s="71"/>
      <c r="U880" s="71"/>
      <c r="V880" s="71"/>
      <c r="W880" s="71"/>
      <c r="X880" s="71"/>
      <c r="Y880" s="71"/>
      <c r="Z880" s="71"/>
      <c r="AA880" s="71"/>
      <c r="AB880" s="71"/>
      <c r="AC880" s="71"/>
      <c r="AD880" s="71"/>
      <c r="AE880" s="71"/>
      <c r="AF880" s="71"/>
      <c r="AG880" s="71"/>
      <c r="AH880" s="71"/>
      <c r="AI880" s="71"/>
      <c r="AJ880" s="71"/>
      <c r="AK880" s="71"/>
      <c r="AL880" s="71"/>
      <c r="AM880" s="71"/>
      <c r="AN880" s="71"/>
      <c r="AO880" s="71"/>
      <c r="AP880" s="71"/>
      <c r="AQ880" s="71"/>
      <c r="AR880" s="71"/>
      <c r="AS880" s="71"/>
      <c r="AT880" s="71"/>
    </row>
    <row r="881" spans="1:46" s="89" customFormat="1" ht="15.65" hidden="1" customHeight="1" x14ac:dyDescent="0.35">
      <c r="A881" s="268" t="s">
        <v>445</v>
      </c>
      <c r="B881" s="268"/>
      <c r="C881" s="158" t="s">
        <v>938</v>
      </c>
      <c r="D881" s="78" t="s">
        <v>368</v>
      </c>
      <c r="E881" s="243"/>
      <c r="F881" s="77"/>
      <c r="G881" s="252">
        <v>48.9</v>
      </c>
      <c r="H881" s="252">
        <f>G881+5</f>
        <v>53.9</v>
      </c>
      <c r="I881" s="77"/>
      <c r="J881" s="77" t="s">
        <v>437</v>
      </c>
      <c r="K881" s="93">
        <v>45291</v>
      </c>
      <c r="L881" s="77" t="s">
        <v>939</v>
      </c>
      <c r="M881" s="77" t="s">
        <v>372</v>
      </c>
      <c r="N881" s="94" t="s">
        <v>940</v>
      </c>
      <c r="O881" s="71"/>
      <c r="P881" s="71"/>
      <c r="Q881" s="71"/>
      <c r="R881" s="71"/>
      <c r="S881" s="71"/>
      <c r="T881" s="71"/>
      <c r="U881" s="71"/>
      <c r="V881" s="71"/>
      <c r="W881" s="71"/>
      <c r="X881" s="71"/>
      <c r="Y881" s="71"/>
      <c r="Z881" s="71"/>
      <c r="AA881" s="71"/>
      <c r="AB881" s="71"/>
      <c r="AC881" s="71"/>
      <c r="AD881" s="71"/>
      <c r="AE881" s="71"/>
      <c r="AF881" s="71"/>
      <c r="AG881" s="71"/>
      <c r="AH881" s="71"/>
      <c r="AI881" s="71"/>
      <c r="AJ881" s="71"/>
      <c r="AK881" s="71"/>
      <c r="AL881" s="71"/>
      <c r="AM881" s="71"/>
      <c r="AN881" s="71"/>
      <c r="AO881" s="71"/>
      <c r="AP881" s="71"/>
      <c r="AQ881" s="71"/>
      <c r="AR881" s="71"/>
      <c r="AS881" s="71"/>
      <c r="AT881" s="71"/>
    </row>
    <row r="882" spans="1:46" s="89" customFormat="1" ht="15.65" hidden="1" customHeight="1" x14ac:dyDescent="0.35">
      <c r="A882" s="264" t="s">
        <v>941</v>
      </c>
      <c r="B882" s="264"/>
      <c r="C882" s="242" t="s">
        <v>942</v>
      </c>
      <c r="D882" s="78" t="s">
        <v>368</v>
      </c>
      <c r="E882" s="243"/>
      <c r="F882" s="244"/>
      <c r="G882" s="164">
        <v>39</v>
      </c>
      <c r="H882" s="164">
        <v>44</v>
      </c>
      <c r="I882" s="77"/>
      <c r="J882" s="77" t="s">
        <v>890</v>
      </c>
      <c r="K882" s="245">
        <v>45107</v>
      </c>
      <c r="L882" s="77" t="s">
        <v>891</v>
      </c>
      <c r="M882" s="77" t="s">
        <v>20</v>
      </c>
      <c r="N882" s="94"/>
      <c r="O882" s="71"/>
      <c r="P882" s="71"/>
      <c r="Q882" s="71"/>
      <c r="R882" s="71"/>
      <c r="S882" s="71"/>
      <c r="T882" s="71"/>
      <c r="U882" s="71"/>
      <c r="V882" s="71"/>
      <c r="W882" s="71"/>
      <c r="X882" s="71"/>
      <c r="Y882" s="71"/>
      <c r="Z882" s="71"/>
      <c r="AA882" s="71"/>
      <c r="AB882" s="71"/>
      <c r="AC882" s="71"/>
      <c r="AD882" s="71"/>
      <c r="AE882" s="71"/>
      <c r="AF882" s="71"/>
      <c r="AG882" s="71"/>
      <c r="AH882" s="71"/>
      <c r="AI882" s="71"/>
      <c r="AJ882" s="71"/>
      <c r="AK882" s="71"/>
      <c r="AL882" s="71"/>
      <c r="AM882" s="71"/>
      <c r="AN882" s="71"/>
      <c r="AO882" s="71"/>
      <c r="AP882" s="71"/>
      <c r="AQ882" s="71"/>
      <c r="AR882" s="71"/>
      <c r="AS882" s="71"/>
      <c r="AT882" s="71"/>
    </row>
    <row r="883" spans="1:46" ht="15.65" hidden="1" customHeight="1" x14ac:dyDescent="0.25">
      <c r="A883" s="273" t="s">
        <v>138</v>
      </c>
      <c r="B883" s="273"/>
      <c r="C883" s="158" t="s">
        <v>892</v>
      </c>
      <c r="D883" s="78" t="s">
        <v>368</v>
      </c>
      <c r="E883" s="243"/>
      <c r="F883" s="77"/>
      <c r="G883" s="115">
        <v>62.8245</v>
      </c>
      <c r="H883" s="247">
        <v>67.8245</v>
      </c>
      <c r="I883" s="77"/>
      <c r="J883" s="77" t="s">
        <v>907</v>
      </c>
      <c r="K883" s="93">
        <v>45291</v>
      </c>
      <c r="L883" s="77" t="s">
        <v>371</v>
      </c>
      <c r="M883" s="77" t="s">
        <v>372</v>
      </c>
      <c r="N883" s="94" t="s">
        <v>373</v>
      </c>
    </row>
    <row r="884" spans="1:46" ht="15.65" hidden="1" customHeight="1" x14ac:dyDescent="0.25">
      <c r="A884" s="281" t="s">
        <v>146</v>
      </c>
      <c r="B884" s="281"/>
      <c r="C884" s="162" t="s">
        <v>942</v>
      </c>
      <c r="D884" s="78" t="s">
        <v>368</v>
      </c>
      <c r="E884" s="243"/>
      <c r="F884" s="77"/>
      <c r="G884" s="247">
        <v>50.9</v>
      </c>
      <c r="H884" s="247">
        <v>55.9</v>
      </c>
      <c r="I884" s="77"/>
      <c r="J884" s="77" t="s">
        <v>382</v>
      </c>
      <c r="K884" s="93">
        <v>45291</v>
      </c>
      <c r="L884" s="77" t="s">
        <v>371</v>
      </c>
      <c r="M884" s="77" t="s">
        <v>20</v>
      </c>
      <c r="N884" s="94" t="s">
        <v>893</v>
      </c>
    </row>
    <row r="885" spans="1:46" ht="15.65" hidden="1" customHeight="1" x14ac:dyDescent="0.25">
      <c r="A885" s="273" t="s">
        <v>146</v>
      </c>
      <c r="B885" s="273"/>
      <c r="C885" s="158" t="s">
        <v>942</v>
      </c>
      <c r="D885" s="78" t="s">
        <v>368</v>
      </c>
      <c r="E885" s="243"/>
      <c r="F885" s="77"/>
      <c r="G885" s="115">
        <v>44.401499999999999</v>
      </c>
      <c r="H885" s="247">
        <v>49.401499999999999</v>
      </c>
      <c r="I885" s="77"/>
      <c r="J885" s="77" t="s">
        <v>907</v>
      </c>
      <c r="K885" s="93">
        <v>45291</v>
      </c>
      <c r="L885" s="77" t="s">
        <v>371</v>
      </c>
      <c r="M885" s="77" t="s">
        <v>372</v>
      </c>
      <c r="N885" s="94" t="s">
        <v>373</v>
      </c>
    </row>
    <row r="886" spans="1:46" s="89" customFormat="1" ht="15.65" hidden="1" customHeight="1" x14ac:dyDescent="0.25">
      <c r="A886" s="281" t="s">
        <v>153</v>
      </c>
      <c r="B886" s="281"/>
      <c r="C886" s="162" t="s">
        <v>943</v>
      </c>
      <c r="D886" s="78" t="s">
        <v>368</v>
      </c>
      <c r="E886" s="243"/>
      <c r="F886" s="77"/>
      <c r="G886" s="247">
        <v>40.549999999999997</v>
      </c>
      <c r="H886" s="247">
        <v>45.55</v>
      </c>
      <c r="I886" s="77"/>
      <c r="J886" s="77" t="s">
        <v>382</v>
      </c>
      <c r="K886" s="93">
        <v>45291</v>
      </c>
      <c r="L886" s="77" t="s">
        <v>371</v>
      </c>
      <c r="M886" s="77" t="s">
        <v>20</v>
      </c>
      <c r="N886" s="94" t="s">
        <v>893</v>
      </c>
      <c r="O886" s="71"/>
      <c r="P886" s="71"/>
      <c r="Q886" s="71"/>
      <c r="R886" s="71"/>
      <c r="S886" s="71"/>
      <c r="T886" s="71"/>
      <c r="U886" s="71"/>
      <c r="V886" s="71"/>
      <c r="W886" s="71"/>
      <c r="X886" s="71"/>
      <c r="Y886" s="71"/>
      <c r="Z886" s="71"/>
      <c r="AA886" s="71"/>
      <c r="AB886" s="71"/>
      <c r="AC886" s="71"/>
      <c r="AD886" s="71"/>
      <c r="AE886" s="71"/>
      <c r="AF886" s="71"/>
      <c r="AG886" s="71"/>
      <c r="AH886" s="71"/>
      <c r="AI886" s="71"/>
      <c r="AJ886" s="71"/>
      <c r="AK886" s="71"/>
      <c r="AL886" s="71"/>
      <c r="AM886" s="71"/>
      <c r="AN886" s="71"/>
      <c r="AO886" s="71"/>
      <c r="AP886" s="71"/>
      <c r="AQ886" s="71"/>
      <c r="AR886" s="71"/>
      <c r="AS886" s="71"/>
      <c r="AT886" s="71"/>
    </row>
    <row r="887" spans="1:46" s="89" customFormat="1" ht="15.65" hidden="1" customHeight="1" x14ac:dyDescent="0.25">
      <c r="A887" s="273" t="s">
        <v>153</v>
      </c>
      <c r="B887" s="273"/>
      <c r="C887" s="158" t="s">
        <v>943</v>
      </c>
      <c r="D887" s="78" t="s">
        <v>368</v>
      </c>
      <c r="E887" s="243"/>
      <c r="F887" s="77"/>
      <c r="G887" s="115">
        <v>36.349199999999996</v>
      </c>
      <c r="H887" s="247">
        <v>41.349199999999996</v>
      </c>
      <c r="I887" s="77"/>
      <c r="J887" s="77" t="s">
        <v>944</v>
      </c>
      <c r="K887" s="93">
        <v>45291</v>
      </c>
      <c r="L887" s="77" t="s">
        <v>371</v>
      </c>
      <c r="M887" s="77" t="s">
        <v>372</v>
      </c>
      <c r="N887" s="94" t="s">
        <v>373</v>
      </c>
      <c r="O887" s="71"/>
      <c r="P887" s="71"/>
      <c r="Q887" s="71"/>
      <c r="R887" s="71"/>
      <c r="S887" s="71"/>
      <c r="T887" s="71"/>
      <c r="U887" s="71"/>
      <c r="V887" s="71"/>
      <c r="W887" s="71"/>
      <c r="X887" s="71"/>
      <c r="Y887" s="71"/>
      <c r="Z887" s="71"/>
      <c r="AA887" s="71"/>
      <c r="AB887" s="71"/>
      <c r="AC887" s="71"/>
      <c r="AD887" s="71"/>
      <c r="AE887" s="71"/>
      <c r="AF887" s="71"/>
      <c r="AG887" s="71"/>
      <c r="AH887" s="71"/>
      <c r="AI887" s="71"/>
      <c r="AJ887" s="71"/>
      <c r="AK887" s="71"/>
      <c r="AL887" s="71"/>
      <c r="AM887" s="71"/>
      <c r="AN887" s="71"/>
      <c r="AO887" s="71"/>
      <c r="AP887" s="71"/>
      <c r="AQ887" s="71"/>
      <c r="AR887" s="71"/>
      <c r="AS887" s="71"/>
      <c r="AT887" s="71"/>
    </row>
    <row r="888" spans="1:46" s="89" customFormat="1" ht="15.65" hidden="1" customHeight="1" x14ac:dyDescent="0.25">
      <c r="A888" s="268" t="s">
        <v>945</v>
      </c>
      <c r="B888" s="268"/>
      <c r="C888" s="158" t="s">
        <v>946</v>
      </c>
      <c r="D888" s="78" t="s">
        <v>368</v>
      </c>
      <c r="E888" s="243"/>
      <c r="F888" s="77"/>
      <c r="G888" s="115">
        <v>93</v>
      </c>
      <c r="H888" s="247">
        <v>98</v>
      </c>
      <c r="I888" s="77"/>
      <c r="J888" s="77" t="s">
        <v>947</v>
      </c>
      <c r="K888" s="93">
        <v>45291</v>
      </c>
      <c r="L888" s="77" t="s">
        <v>948</v>
      </c>
      <c r="M888" s="77" t="s">
        <v>20</v>
      </c>
      <c r="N888" s="94"/>
      <c r="O888" s="71"/>
      <c r="P888" s="71"/>
      <c r="Q888" s="71"/>
      <c r="R888" s="71"/>
      <c r="S888" s="71"/>
      <c r="T888" s="71"/>
      <c r="U888" s="71"/>
      <c r="V888" s="71"/>
      <c r="W888" s="71"/>
      <c r="X888" s="71"/>
      <c r="Y888" s="71"/>
      <c r="Z888" s="71"/>
      <c r="AA888" s="71"/>
      <c r="AB888" s="71"/>
      <c r="AC888" s="71"/>
      <c r="AD888" s="71"/>
      <c r="AE888" s="71"/>
      <c r="AF888" s="71"/>
      <c r="AG888" s="71"/>
      <c r="AH888" s="71"/>
      <c r="AI888" s="71"/>
      <c r="AJ888" s="71"/>
      <c r="AK888" s="71"/>
      <c r="AL888" s="71"/>
      <c r="AM888" s="71"/>
      <c r="AN888" s="71"/>
      <c r="AO888" s="71"/>
      <c r="AP888" s="71"/>
      <c r="AQ888" s="71"/>
      <c r="AR888" s="71"/>
      <c r="AS888" s="71"/>
      <c r="AT888" s="71"/>
    </row>
    <row r="889" spans="1:46" s="89" customFormat="1" ht="15.65" hidden="1" customHeight="1" x14ac:dyDescent="0.25">
      <c r="A889" s="286" t="s">
        <v>949</v>
      </c>
      <c r="B889" s="286"/>
      <c r="C889" s="162" t="s">
        <v>950</v>
      </c>
      <c r="D889" s="78" t="s">
        <v>368</v>
      </c>
      <c r="E889" s="243"/>
      <c r="F889" s="77"/>
      <c r="G889" s="247">
        <v>45</v>
      </c>
      <c r="H889" s="247">
        <v>50</v>
      </c>
      <c r="I889" s="77"/>
      <c r="J889" s="77" t="s">
        <v>951</v>
      </c>
      <c r="K889" s="93">
        <v>45291</v>
      </c>
      <c r="L889" s="77" t="s">
        <v>377</v>
      </c>
      <c r="M889" s="77"/>
      <c r="N889" s="94" t="s">
        <v>378</v>
      </c>
      <c r="O889" s="71"/>
      <c r="P889" s="71"/>
      <c r="Q889" s="71"/>
      <c r="R889" s="71"/>
      <c r="S889" s="71"/>
      <c r="T889" s="71"/>
      <c r="U889" s="71"/>
      <c r="V889" s="71"/>
      <c r="W889" s="71"/>
      <c r="X889" s="71"/>
      <c r="Y889" s="71"/>
      <c r="Z889" s="71"/>
      <c r="AA889" s="71"/>
      <c r="AB889" s="71"/>
      <c r="AC889" s="71"/>
      <c r="AD889" s="71"/>
      <c r="AE889" s="71"/>
      <c r="AF889" s="71"/>
      <c r="AG889" s="71"/>
      <c r="AH889" s="71"/>
      <c r="AI889" s="71"/>
      <c r="AJ889" s="71"/>
      <c r="AK889" s="71"/>
      <c r="AL889" s="71"/>
      <c r="AM889" s="71"/>
      <c r="AN889" s="71"/>
      <c r="AO889" s="71"/>
      <c r="AP889" s="71"/>
      <c r="AQ889" s="71"/>
      <c r="AR889" s="71"/>
      <c r="AS889" s="71"/>
      <c r="AT889" s="71"/>
    </row>
    <row r="890" spans="1:46" s="89" customFormat="1" ht="15.65" hidden="1" customHeight="1" x14ac:dyDescent="0.25">
      <c r="A890" s="281" t="s">
        <v>165</v>
      </c>
      <c r="B890" s="281"/>
      <c r="C890" s="162" t="s">
        <v>419</v>
      </c>
      <c r="D890" s="78" t="s">
        <v>368</v>
      </c>
      <c r="E890" s="243"/>
      <c r="F890" s="77"/>
      <c r="G890" s="247">
        <v>152.4</v>
      </c>
      <c r="H890" s="247">
        <v>157.4</v>
      </c>
      <c r="I890" s="77"/>
      <c r="J890" s="77" t="s">
        <v>382</v>
      </c>
      <c r="K890" s="93">
        <v>45291</v>
      </c>
      <c r="L890" s="77" t="s">
        <v>371</v>
      </c>
      <c r="M890" s="77" t="s">
        <v>20</v>
      </c>
      <c r="N890" s="94" t="s">
        <v>893</v>
      </c>
      <c r="O890" s="71"/>
      <c r="P890" s="71"/>
      <c r="Q890" s="71"/>
      <c r="R890" s="71"/>
      <c r="S890" s="71"/>
      <c r="T890" s="71"/>
      <c r="U890" s="71"/>
      <c r="V890" s="71"/>
      <c r="W890" s="71"/>
      <c r="X890" s="71"/>
      <c r="Y890" s="71"/>
      <c r="Z890" s="71"/>
      <c r="AA890" s="71"/>
      <c r="AB890" s="71"/>
      <c r="AC890" s="71"/>
      <c r="AD890" s="71"/>
      <c r="AE890" s="71"/>
      <c r="AF890" s="71"/>
      <c r="AG890" s="71"/>
      <c r="AH890" s="71"/>
      <c r="AI890" s="71"/>
      <c r="AJ890" s="71"/>
      <c r="AK890" s="71"/>
      <c r="AL890" s="71"/>
      <c r="AM890" s="71"/>
      <c r="AN890" s="71"/>
      <c r="AO890" s="71"/>
      <c r="AP890" s="71"/>
      <c r="AQ890" s="71"/>
      <c r="AR890" s="71"/>
      <c r="AS890" s="71"/>
      <c r="AT890" s="71"/>
    </row>
    <row r="891" spans="1:46" ht="15.65" hidden="1" customHeight="1" x14ac:dyDescent="0.25">
      <c r="A891" s="457" t="s">
        <v>168</v>
      </c>
      <c r="B891" s="457"/>
      <c r="C891" s="162" t="s">
        <v>952</v>
      </c>
      <c r="D891" s="78" t="s">
        <v>368</v>
      </c>
      <c r="E891" s="243"/>
      <c r="F891" s="77"/>
      <c r="G891" s="247">
        <v>77.3</v>
      </c>
      <c r="H891" s="247">
        <v>82.3</v>
      </c>
      <c r="I891" s="77"/>
      <c r="J891" s="77" t="s">
        <v>382</v>
      </c>
      <c r="K891" s="93">
        <v>45291</v>
      </c>
      <c r="L891" s="77" t="s">
        <v>371</v>
      </c>
      <c r="M891" s="77" t="s">
        <v>20</v>
      </c>
      <c r="N891" s="94" t="s">
        <v>893</v>
      </c>
    </row>
    <row r="892" spans="1:46" ht="15.65" hidden="1" customHeight="1" x14ac:dyDescent="0.25">
      <c r="A892" s="286" t="s">
        <v>953</v>
      </c>
      <c r="B892" s="286"/>
      <c r="C892" s="162" t="s">
        <v>954</v>
      </c>
      <c r="D892" s="78" t="s">
        <v>368</v>
      </c>
      <c r="E892" s="243"/>
      <c r="F892" s="77"/>
      <c r="G892" s="247">
        <v>47.95</v>
      </c>
      <c r="H892" s="247">
        <f>G892+5</f>
        <v>52.95</v>
      </c>
      <c r="I892" s="77"/>
      <c r="J892" s="77" t="s">
        <v>951</v>
      </c>
      <c r="K892" s="93">
        <v>45291</v>
      </c>
      <c r="L892" s="77" t="s">
        <v>377</v>
      </c>
      <c r="M892" s="77"/>
      <c r="N892" s="94" t="s">
        <v>378</v>
      </c>
    </row>
    <row r="893" spans="1:46" ht="15.65" hidden="1" customHeight="1" x14ac:dyDescent="0.25">
      <c r="A893" s="273" t="s">
        <v>172</v>
      </c>
      <c r="B893" s="273"/>
      <c r="C893" s="158" t="s">
        <v>490</v>
      </c>
      <c r="D893" s="78" t="s">
        <v>368</v>
      </c>
      <c r="E893" s="243"/>
      <c r="F893" s="77"/>
      <c r="G893" s="115">
        <v>144.94999999999999</v>
      </c>
      <c r="H893" s="247">
        <v>149.94999999999999</v>
      </c>
      <c r="I893" s="77"/>
      <c r="J893" s="77" t="s">
        <v>955</v>
      </c>
      <c r="K893" s="93">
        <v>45291</v>
      </c>
      <c r="L893" s="77" t="s">
        <v>371</v>
      </c>
      <c r="M893" s="77" t="s">
        <v>20</v>
      </c>
      <c r="N893" s="94" t="s">
        <v>373</v>
      </c>
    </row>
    <row r="894" spans="1:46" ht="15.65" hidden="1" customHeight="1" x14ac:dyDescent="0.25">
      <c r="A894" s="273" t="s">
        <v>172</v>
      </c>
      <c r="B894" s="273"/>
      <c r="C894" s="158" t="s">
        <v>490</v>
      </c>
      <c r="D894" s="78" t="s">
        <v>368</v>
      </c>
      <c r="E894" s="243"/>
      <c r="F894" s="77"/>
      <c r="G894" s="115">
        <v>144.94999999999999</v>
      </c>
      <c r="H894" s="247">
        <v>149.94999999999999</v>
      </c>
      <c r="I894" s="77"/>
      <c r="J894" s="77" t="s">
        <v>956</v>
      </c>
      <c r="K894" s="93">
        <v>45291</v>
      </c>
      <c r="L894" s="77" t="s">
        <v>371</v>
      </c>
      <c r="M894" s="77" t="s">
        <v>20</v>
      </c>
      <c r="N894" s="94" t="s">
        <v>373</v>
      </c>
    </row>
    <row r="895" spans="1:46" ht="15.65" hidden="1" customHeight="1" x14ac:dyDescent="0.25">
      <c r="A895" s="274" t="s">
        <v>176</v>
      </c>
      <c r="B895" s="274"/>
      <c r="C895" s="158" t="s">
        <v>894</v>
      </c>
      <c r="D895" s="78" t="s">
        <v>368</v>
      </c>
      <c r="E895" s="243"/>
      <c r="F895" s="77"/>
      <c r="G895" s="115">
        <v>62.306999999999995</v>
      </c>
      <c r="H895" s="247">
        <v>67.306999999999988</v>
      </c>
      <c r="I895" s="77"/>
      <c r="J895" s="77" t="s">
        <v>957</v>
      </c>
      <c r="K895" s="93">
        <v>45291</v>
      </c>
      <c r="L895" s="77" t="s">
        <v>371</v>
      </c>
      <c r="M895" s="77" t="s">
        <v>372</v>
      </c>
      <c r="N895" s="94" t="s">
        <v>373</v>
      </c>
    </row>
    <row r="896" spans="1:46" ht="15.65" hidden="1" customHeight="1" x14ac:dyDescent="0.25">
      <c r="A896" s="281" t="s">
        <v>180</v>
      </c>
      <c r="B896" s="281"/>
      <c r="C896" s="162" t="s">
        <v>958</v>
      </c>
      <c r="D896" s="78" t="s">
        <v>368</v>
      </c>
      <c r="E896" s="168"/>
      <c r="F896" s="77"/>
      <c r="G896" s="247">
        <f>101.35*1.03</f>
        <v>104.3905</v>
      </c>
      <c r="H896" s="247">
        <v>109.3905</v>
      </c>
      <c r="I896" s="77"/>
      <c r="J896" s="77" t="s">
        <v>382</v>
      </c>
      <c r="K896" s="93">
        <v>45291</v>
      </c>
      <c r="L896" s="77" t="s">
        <v>371</v>
      </c>
      <c r="M896" s="77" t="s">
        <v>20</v>
      </c>
      <c r="N896" s="94" t="s">
        <v>893</v>
      </c>
    </row>
    <row r="897" spans="1:46" ht="15.65" hidden="1" customHeight="1" x14ac:dyDescent="0.25">
      <c r="A897" s="281" t="s">
        <v>184</v>
      </c>
      <c r="B897" s="281"/>
      <c r="C897" s="162" t="s">
        <v>493</v>
      </c>
      <c r="D897" s="78" t="s">
        <v>368</v>
      </c>
      <c r="E897" s="243"/>
      <c r="F897" s="77"/>
      <c r="G897" s="247">
        <f>120.5*1.03</f>
        <v>124.11500000000001</v>
      </c>
      <c r="H897" s="247">
        <v>129.11500000000001</v>
      </c>
      <c r="I897" s="77"/>
      <c r="J897" s="77" t="s">
        <v>382</v>
      </c>
      <c r="K897" s="93">
        <v>45291</v>
      </c>
      <c r="L897" s="77" t="s">
        <v>371</v>
      </c>
      <c r="M897" s="77" t="s">
        <v>20</v>
      </c>
      <c r="N897" s="94" t="s">
        <v>893</v>
      </c>
    </row>
    <row r="898" spans="1:46" s="96" customFormat="1" ht="15.65" hidden="1" customHeight="1" x14ac:dyDescent="0.25">
      <c r="A898" s="275" t="s">
        <v>184</v>
      </c>
      <c r="B898" s="275"/>
      <c r="C898" s="158" t="s">
        <v>493</v>
      </c>
      <c r="D898" s="78" t="s">
        <v>368</v>
      </c>
      <c r="E898" s="243"/>
      <c r="F898" s="77"/>
      <c r="G898" s="115">
        <v>54.505200000000002</v>
      </c>
      <c r="H898" s="247">
        <v>59.505200000000002</v>
      </c>
      <c r="I898" s="77"/>
      <c r="J898" s="77" t="s">
        <v>370</v>
      </c>
      <c r="K898" s="93">
        <v>45291</v>
      </c>
      <c r="L898" s="77" t="s">
        <v>371</v>
      </c>
      <c r="M898" s="77" t="s">
        <v>372</v>
      </c>
      <c r="N898" s="94" t="s">
        <v>373</v>
      </c>
      <c r="O898" s="95"/>
      <c r="P898" s="95"/>
      <c r="Q898" s="95"/>
      <c r="R898" s="95"/>
      <c r="S898" s="95"/>
      <c r="T898" s="95"/>
      <c r="U898" s="95"/>
      <c r="V898" s="95"/>
      <c r="W898" s="95"/>
      <c r="X898" s="95"/>
      <c r="Y898" s="95"/>
      <c r="Z898" s="95"/>
      <c r="AA898" s="95"/>
      <c r="AB898" s="95"/>
      <c r="AC898" s="95"/>
      <c r="AD898" s="95"/>
      <c r="AE898" s="95"/>
      <c r="AF898" s="95"/>
      <c r="AG898" s="95"/>
      <c r="AH898" s="95"/>
      <c r="AI898" s="95"/>
      <c r="AJ898" s="95"/>
      <c r="AK898" s="95"/>
      <c r="AL898" s="95"/>
      <c r="AM898" s="95"/>
      <c r="AN898" s="95"/>
      <c r="AO898" s="95"/>
      <c r="AP898" s="95"/>
      <c r="AQ898" s="95"/>
      <c r="AR898" s="95"/>
      <c r="AS898" s="95"/>
      <c r="AT898" s="95"/>
    </row>
    <row r="899" spans="1:46" s="96" customFormat="1" ht="15.65" hidden="1" customHeight="1" x14ac:dyDescent="0.25">
      <c r="A899" s="273" t="s">
        <v>184</v>
      </c>
      <c r="B899" s="273"/>
      <c r="C899" s="158" t="s">
        <v>493</v>
      </c>
      <c r="D899" s="78" t="s">
        <v>368</v>
      </c>
      <c r="E899" s="243"/>
      <c r="F899" s="77"/>
      <c r="G899" s="115">
        <v>61.9</v>
      </c>
      <c r="H899" s="247">
        <v>66.900000000000006</v>
      </c>
      <c r="I899" s="77"/>
      <c r="J899" s="77" t="s">
        <v>957</v>
      </c>
      <c r="K899" s="93">
        <v>45291</v>
      </c>
      <c r="L899" s="77" t="s">
        <v>371</v>
      </c>
      <c r="M899" s="77" t="s">
        <v>372</v>
      </c>
      <c r="N899" s="94" t="s">
        <v>373</v>
      </c>
      <c r="O899" s="95"/>
      <c r="P899" s="95"/>
      <c r="Q899" s="95"/>
      <c r="R899" s="95"/>
      <c r="S899" s="95"/>
      <c r="T899" s="95"/>
      <c r="U899" s="95"/>
      <c r="V899" s="95"/>
      <c r="W899" s="95"/>
      <c r="X899" s="95"/>
      <c r="Y899" s="95"/>
      <c r="Z899" s="95"/>
      <c r="AA899" s="95"/>
      <c r="AB899" s="95"/>
      <c r="AC899" s="95"/>
      <c r="AD899" s="95"/>
      <c r="AE899" s="95"/>
      <c r="AF899" s="95"/>
      <c r="AG899" s="95"/>
      <c r="AH899" s="95"/>
      <c r="AI899" s="95"/>
      <c r="AJ899" s="95"/>
      <c r="AK899" s="95"/>
      <c r="AL899" s="95"/>
      <c r="AM899" s="95"/>
      <c r="AN899" s="95"/>
      <c r="AO899" s="95"/>
      <c r="AP899" s="95"/>
      <c r="AQ899" s="95"/>
      <c r="AR899" s="95"/>
      <c r="AS899" s="95"/>
      <c r="AT899" s="95"/>
    </row>
    <row r="900" spans="1:46" ht="15.65" hidden="1" customHeight="1" x14ac:dyDescent="0.25">
      <c r="A900" s="281" t="s">
        <v>188</v>
      </c>
      <c r="B900" s="281"/>
      <c r="C900" s="162" t="s">
        <v>959</v>
      </c>
      <c r="D900" s="78" t="s">
        <v>368</v>
      </c>
      <c r="E900" s="243"/>
      <c r="F900" s="77"/>
      <c r="G900" s="247">
        <v>98</v>
      </c>
      <c r="H900" s="247">
        <v>103</v>
      </c>
      <c r="I900" s="77"/>
      <c r="J900" s="77" t="s">
        <v>382</v>
      </c>
      <c r="K900" s="93">
        <v>45291</v>
      </c>
      <c r="L900" s="77" t="s">
        <v>371</v>
      </c>
      <c r="M900" s="77" t="s">
        <v>20</v>
      </c>
      <c r="N900" s="94" t="s">
        <v>893</v>
      </c>
    </row>
    <row r="901" spans="1:46" ht="15.65" hidden="1" customHeight="1" x14ac:dyDescent="0.25">
      <c r="A901" s="273" t="s">
        <v>188</v>
      </c>
      <c r="B901" s="273"/>
      <c r="C901" s="158" t="s">
        <v>959</v>
      </c>
      <c r="D901" s="78" t="s">
        <v>368</v>
      </c>
      <c r="E901" s="243"/>
      <c r="F901" s="77"/>
      <c r="G901" s="115">
        <v>101.42999999999999</v>
      </c>
      <c r="H901" s="247">
        <v>106.42999999999999</v>
      </c>
      <c r="I901" s="77"/>
      <c r="J901" s="77" t="s">
        <v>960</v>
      </c>
      <c r="K901" s="93">
        <v>45291</v>
      </c>
      <c r="L901" s="77" t="s">
        <v>371</v>
      </c>
      <c r="M901" s="77" t="s">
        <v>401</v>
      </c>
      <c r="N901" s="94" t="s">
        <v>373</v>
      </c>
    </row>
    <row r="902" spans="1:46" ht="15.65" hidden="1" customHeight="1" x14ac:dyDescent="0.25">
      <c r="A902" s="281" t="s">
        <v>192</v>
      </c>
      <c r="B902" s="281"/>
      <c r="C902" s="162" t="s">
        <v>961</v>
      </c>
      <c r="D902" s="78" t="s">
        <v>368</v>
      </c>
      <c r="E902" s="243"/>
      <c r="F902" s="77"/>
      <c r="G902" s="247">
        <v>52.8</v>
      </c>
      <c r="H902" s="247">
        <v>57.8</v>
      </c>
      <c r="I902" s="77"/>
      <c r="J902" s="77" t="s">
        <v>382</v>
      </c>
      <c r="K902" s="93">
        <v>45291</v>
      </c>
      <c r="L902" s="77" t="s">
        <v>371</v>
      </c>
      <c r="M902" s="77" t="s">
        <v>20</v>
      </c>
      <c r="N902" s="94" t="s">
        <v>893</v>
      </c>
    </row>
    <row r="903" spans="1:46" ht="15.65" hidden="1" customHeight="1" x14ac:dyDescent="0.25">
      <c r="A903" s="273" t="s">
        <v>192</v>
      </c>
      <c r="B903" s="273"/>
      <c r="C903" s="158" t="s">
        <v>961</v>
      </c>
      <c r="D903" s="78" t="s">
        <v>368</v>
      </c>
      <c r="E903" s="243"/>
      <c r="F903" s="77"/>
      <c r="G903" s="247">
        <v>52.8</v>
      </c>
      <c r="H903" s="247">
        <v>57.8</v>
      </c>
      <c r="I903" s="77"/>
      <c r="J903" s="77" t="s">
        <v>907</v>
      </c>
      <c r="K903" s="93">
        <v>45291</v>
      </c>
      <c r="L903" s="77" t="s">
        <v>962</v>
      </c>
      <c r="M903" s="77" t="s">
        <v>20</v>
      </c>
      <c r="N903" s="94" t="s">
        <v>963</v>
      </c>
    </row>
    <row r="904" spans="1:46" ht="15.65" hidden="1" customHeight="1" x14ac:dyDescent="0.25">
      <c r="A904" s="457" t="s">
        <v>196</v>
      </c>
      <c r="B904" s="457"/>
      <c r="C904" s="162" t="s">
        <v>964</v>
      </c>
      <c r="D904" s="78" t="s">
        <v>368</v>
      </c>
      <c r="E904" s="243"/>
      <c r="F904" s="77"/>
      <c r="G904" s="247">
        <v>30.25</v>
      </c>
      <c r="H904" s="247">
        <v>35.25</v>
      </c>
      <c r="I904" s="77"/>
      <c r="J904" s="77" t="s">
        <v>382</v>
      </c>
      <c r="K904" s="93">
        <v>45291</v>
      </c>
      <c r="L904" s="77" t="s">
        <v>371</v>
      </c>
      <c r="M904" s="77" t="s">
        <v>20</v>
      </c>
      <c r="N904" s="94" t="s">
        <v>893</v>
      </c>
    </row>
    <row r="905" spans="1:46" s="96" customFormat="1" ht="15.65" hidden="1" customHeight="1" x14ac:dyDescent="0.35">
      <c r="A905" s="268" t="s">
        <v>200</v>
      </c>
      <c r="B905" s="268"/>
      <c r="C905" s="158" t="s">
        <v>518</v>
      </c>
      <c r="D905" s="78" t="s">
        <v>368</v>
      </c>
      <c r="E905" s="243"/>
      <c r="F905" s="77"/>
      <c r="G905" s="252">
        <v>27.84</v>
      </c>
      <c r="H905" s="252">
        <v>32.840000000000003</v>
      </c>
      <c r="I905" s="77"/>
      <c r="J905" s="77" t="s">
        <v>437</v>
      </c>
      <c r="K905" s="93">
        <v>45291</v>
      </c>
      <c r="L905" s="77" t="s">
        <v>965</v>
      </c>
      <c r="M905" s="77" t="s">
        <v>372</v>
      </c>
      <c r="N905" s="94" t="s">
        <v>940</v>
      </c>
      <c r="O905" s="95"/>
      <c r="P905" s="95"/>
      <c r="Q905" s="95"/>
      <c r="R905" s="95"/>
      <c r="S905" s="95"/>
      <c r="T905" s="95"/>
      <c r="U905" s="95"/>
      <c r="V905" s="95"/>
      <c r="W905" s="95"/>
      <c r="X905" s="95"/>
      <c r="Y905" s="95"/>
      <c r="Z905" s="95"/>
      <c r="AA905" s="95"/>
      <c r="AB905" s="95"/>
      <c r="AC905" s="95"/>
      <c r="AD905" s="95"/>
      <c r="AE905" s="95"/>
      <c r="AF905" s="95"/>
      <c r="AG905" s="95"/>
      <c r="AH905" s="95"/>
      <c r="AI905" s="95"/>
      <c r="AJ905" s="95"/>
      <c r="AK905" s="95"/>
      <c r="AL905" s="95"/>
      <c r="AM905" s="95"/>
      <c r="AN905" s="95"/>
      <c r="AO905" s="95"/>
      <c r="AP905" s="95"/>
      <c r="AQ905" s="95"/>
      <c r="AR905" s="95"/>
      <c r="AS905" s="95"/>
      <c r="AT905" s="95"/>
    </row>
    <row r="906" spans="1:46" s="89" customFormat="1" ht="15.65" hidden="1" customHeight="1" x14ac:dyDescent="0.25">
      <c r="A906" s="281" t="s">
        <v>200</v>
      </c>
      <c r="B906" s="281"/>
      <c r="C906" s="162" t="s">
        <v>518</v>
      </c>
      <c r="D906" s="78" t="s">
        <v>368</v>
      </c>
      <c r="E906" s="243"/>
      <c r="F906" s="77"/>
      <c r="G906" s="247">
        <v>43</v>
      </c>
      <c r="H906" s="247">
        <v>48</v>
      </c>
      <c r="I906" s="77"/>
      <c r="J906" s="77" t="s">
        <v>382</v>
      </c>
      <c r="K906" s="93">
        <v>45291</v>
      </c>
      <c r="L906" s="77" t="s">
        <v>371</v>
      </c>
      <c r="M906" s="77" t="s">
        <v>20</v>
      </c>
      <c r="N906" s="94" t="s">
        <v>893</v>
      </c>
      <c r="O906" s="71"/>
      <c r="P906" s="71"/>
      <c r="Q906" s="71"/>
      <c r="R906" s="71"/>
      <c r="S906" s="71"/>
      <c r="T906" s="71"/>
      <c r="U906" s="71"/>
      <c r="V906" s="71"/>
      <c r="W906" s="71"/>
      <c r="X906" s="71"/>
      <c r="Y906" s="71"/>
      <c r="Z906" s="71"/>
      <c r="AA906" s="71"/>
      <c r="AB906" s="71"/>
      <c r="AC906" s="71"/>
      <c r="AD906" s="71"/>
      <c r="AE906" s="71"/>
      <c r="AF906" s="71"/>
      <c r="AG906" s="71"/>
      <c r="AH906" s="71"/>
      <c r="AI906" s="71"/>
      <c r="AJ906" s="71"/>
      <c r="AK906" s="71"/>
      <c r="AL906" s="71"/>
      <c r="AM906" s="71"/>
      <c r="AN906" s="71"/>
      <c r="AO906" s="71"/>
      <c r="AP906" s="71"/>
      <c r="AQ906" s="71"/>
      <c r="AR906" s="71"/>
      <c r="AS906" s="71"/>
      <c r="AT906" s="71"/>
    </row>
    <row r="907" spans="1:46" s="89" customFormat="1" ht="15.65" hidden="1" customHeight="1" x14ac:dyDescent="0.25">
      <c r="A907" s="274" t="s">
        <v>200</v>
      </c>
      <c r="B907" s="274"/>
      <c r="C907" s="158" t="s">
        <v>518</v>
      </c>
      <c r="D907" s="78" t="s">
        <v>368</v>
      </c>
      <c r="E907" s="243"/>
      <c r="F907" s="77"/>
      <c r="G907" s="115">
        <v>41.638049999999993</v>
      </c>
      <c r="H907" s="247">
        <v>46.638049999999993</v>
      </c>
      <c r="I907" s="77"/>
      <c r="J907" s="77" t="s">
        <v>370</v>
      </c>
      <c r="K907" s="93">
        <v>45291</v>
      </c>
      <c r="L907" s="77" t="s">
        <v>371</v>
      </c>
      <c r="M907" s="77" t="s">
        <v>372</v>
      </c>
      <c r="N907" s="94" t="s">
        <v>373</v>
      </c>
      <c r="O907" s="71"/>
      <c r="P907" s="71"/>
      <c r="Q907" s="71"/>
      <c r="R907" s="71"/>
      <c r="S907" s="71"/>
      <c r="T907" s="71"/>
      <c r="U907" s="71"/>
      <c r="V907" s="71"/>
      <c r="W907" s="71"/>
      <c r="X907" s="71"/>
      <c r="Y907" s="71"/>
      <c r="Z907" s="71"/>
      <c r="AA907" s="71"/>
      <c r="AB907" s="71"/>
      <c r="AC907" s="71"/>
      <c r="AD907" s="71"/>
      <c r="AE907" s="71"/>
      <c r="AF907" s="71"/>
      <c r="AG907" s="71"/>
      <c r="AH907" s="71"/>
      <c r="AI907" s="71"/>
      <c r="AJ907" s="71"/>
      <c r="AK907" s="71"/>
      <c r="AL907" s="71"/>
      <c r="AM907" s="71"/>
      <c r="AN907" s="71"/>
      <c r="AO907" s="71"/>
      <c r="AP907" s="71"/>
      <c r="AQ907" s="71"/>
      <c r="AR907" s="71"/>
      <c r="AS907" s="71"/>
      <c r="AT907" s="71"/>
    </row>
    <row r="908" spans="1:46" s="89" customFormat="1" ht="15.65" hidden="1" customHeight="1" x14ac:dyDescent="0.25">
      <c r="A908" s="281" t="s">
        <v>522</v>
      </c>
      <c r="B908" s="281"/>
      <c r="C908" s="162" t="s">
        <v>523</v>
      </c>
      <c r="D908" s="78" t="s">
        <v>368</v>
      </c>
      <c r="E908" s="243"/>
      <c r="F908" s="77"/>
      <c r="G908" s="247">
        <v>113.3</v>
      </c>
      <c r="H908" s="247">
        <v>118.3</v>
      </c>
      <c r="I908" s="77"/>
      <c r="J908" s="77" t="s">
        <v>382</v>
      </c>
      <c r="K908" s="93">
        <v>45291</v>
      </c>
      <c r="L908" s="77" t="s">
        <v>371</v>
      </c>
      <c r="M908" s="77" t="s">
        <v>20</v>
      </c>
      <c r="N908" s="94" t="s">
        <v>893</v>
      </c>
      <c r="O908" s="71"/>
      <c r="P908" s="71"/>
      <c r="Q908" s="71"/>
      <c r="R908" s="71"/>
      <c r="S908" s="71"/>
      <c r="T908" s="71"/>
      <c r="U908" s="71"/>
      <c r="V908" s="71"/>
      <c r="W908" s="71"/>
      <c r="X908" s="71"/>
      <c r="Y908" s="71"/>
      <c r="Z908" s="71"/>
      <c r="AA908" s="71"/>
      <c r="AB908" s="71"/>
      <c r="AC908" s="71"/>
      <c r="AD908" s="71"/>
      <c r="AE908" s="71"/>
      <c r="AF908" s="71"/>
      <c r="AG908" s="71"/>
      <c r="AH908" s="71"/>
      <c r="AI908" s="71"/>
      <c r="AJ908" s="71"/>
      <c r="AK908" s="71"/>
      <c r="AL908" s="71"/>
      <c r="AM908" s="71"/>
      <c r="AN908" s="71"/>
      <c r="AO908" s="71"/>
      <c r="AP908" s="71"/>
      <c r="AQ908" s="71"/>
      <c r="AR908" s="71"/>
      <c r="AS908" s="71"/>
      <c r="AT908" s="71"/>
    </row>
    <row r="909" spans="1:46" ht="15.65" hidden="1" customHeight="1" x14ac:dyDescent="0.25">
      <c r="A909" s="246" t="s">
        <v>525</v>
      </c>
      <c r="B909" s="246"/>
      <c r="C909" s="162" t="s">
        <v>526</v>
      </c>
      <c r="D909" s="78" t="s">
        <v>368</v>
      </c>
      <c r="E909" s="485"/>
      <c r="F909" s="280"/>
      <c r="G909" s="247">
        <v>166.35</v>
      </c>
      <c r="H909" s="247">
        <v>171.35</v>
      </c>
      <c r="I909" s="77"/>
      <c r="J909" s="77" t="s">
        <v>382</v>
      </c>
      <c r="K909" s="93">
        <v>45291</v>
      </c>
      <c r="L909" s="77" t="s">
        <v>371</v>
      </c>
      <c r="M909" s="77" t="s">
        <v>20</v>
      </c>
      <c r="N909" s="94" t="s">
        <v>893</v>
      </c>
    </row>
    <row r="910" spans="1:46" s="89" customFormat="1" ht="15.65" hidden="1" customHeight="1" x14ac:dyDescent="0.25">
      <c r="A910" s="458" t="s">
        <v>527</v>
      </c>
      <c r="B910" s="458"/>
      <c r="C910" s="473" t="s">
        <v>966</v>
      </c>
      <c r="D910" s="145" t="s">
        <v>368</v>
      </c>
      <c r="E910" s="243"/>
      <c r="F910" s="77"/>
      <c r="G910" s="282">
        <v>112.32</v>
      </c>
      <c r="H910" s="282">
        <v>117.32</v>
      </c>
      <c r="I910" s="283"/>
      <c r="J910" s="283" t="s">
        <v>382</v>
      </c>
      <c r="K910" s="284">
        <v>45291</v>
      </c>
      <c r="L910" s="283" t="s">
        <v>371</v>
      </c>
      <c r="M910" s="283" t="s">
        <v>20</v>
      </c>
      <c r="N910" s="285" t="s">
        <v>893</v>
      </c>
      <c r="O910" s="71"/>
      <c r="P910" s="71"/>
      <c r="Q910" s="71"/>
      <c r="R910" s="71"/>
      <c r="S910" s="71"/>
      <c r="T910" s="71"/>
      <c r="U910" s="71"/>
      <c r="V910" s="71"/>
      <c r="W910" s="71"/>
      <c r="X910" s="71"/>
      <c r="Y910" s="71"/>
      <c r="Z910" s="71"/>
      <c r="AA910" s="71"/>
      <c r="AB910" s="71"/>
      <c r="AC910" s="71"/>
      <c r="AD910" s="71"/>
      <c r="AE910" s="71"/>
      <c r="AF910" s="71"/>
      <c r="AG910" s="71"/>
      <c r="AH910" s="71"/>
      <c r="AI910" s="71"/>
      <c r="AJ910" s="71"/>
      <c r="AK910" s="71"/>
      <c r="AL910" s="71"/>
      <c r="AM910" s="71"/>
      <c r="AN910" s="71"/>
      <c r="AO910" s="71"/>
      <c r="AP910" s="71"/>
      <c r="AQ910" s="71"/>
      <c r="AR910" s="71"/>
      <c r="AS910" s="71"/>
      <c r="AT910" s="71"/>
    </row>
    <row r="911" spans="1:46" s="89" customFormat="1" ht="15.65" hidden="1" customHeight="1" x14ac:dyDescent="0.25">
      <c r="A911" s="281" t="s">
        <v>529</v>
      </c>
      <c r="B911" s="281"/>
      <c r="C911" s="162" t="s">
        <v>530</v>
      </c>
      <c r="D911" s="78" t="s">
        <v>368</v>
      </c>
      <c r="E911" s="243"/>
      <c r="F911" s="77"/>
      <c r="G911" s="247">
        <v>112.8</v>
      </c>
      <c r="H911" s="247">
        <v>117.8</v>
      </c>
      <c r="I911" s="77"/>
      <c r="J911" s="77" t="s">
        <v>382</v>
      </c>
      <c r="K911" s="93">
        <v>45291</v>
      </c>
      <c r="L911" s="77" t="s">
        <v>371</v>
      </c>
      <c r="M911" s="77" t="s">
        <v>20</v>
      </c>
      <c r="N911" s="94" t="s">
        <v>893</v>
      </c>
      <c r="O911" s="71"/>
      <c r="P911" s="71"/>
      <c r="Q911" s="71"/>
      <c r="R911" s="71"/>
      <c r="S911" s="71"/>
      <c r="T911" s="71"/>
      <c r="U911" s="71"/>
      <c r="V911" s="71"/>
      <c r="W911" s="71"/>
      <c r="X911" s="71"/>
      <c r="Y911" s="71"/>
      <c r="Z911" s="71"/>
      <c r="AA911" s="71"/>
      <c r="AB911" s="71"/>
      <c r="AC911" s="71"/>
      <c r="AD911" s="71"/>
      <c r="AE911" s="71"/>
      <c r="AF911" s="71"/>
      <c r="AG911" s="71"/>
      <c r="AH911" s="71"/>
      <c r="AI911" s="71"/>
      <c r="AJ911" s="71"/>
      <c r="AK911" s="71"/>
      <c r="AL911" s="71"/>
      <c r="AM911" s="71"/>
      <c r="AN911" s="71"/>
      <c r="AO911" s="71"/>
      <c r="AP911" s="71"/>
      <c r="AQ911" s="71"/>
      <c r="AR911" s="71"/>
      <c r="AS911" s="71"/>
      <c r="AT911" s="71"/>
    </row>
    <row r="912" spans="1:46" s="96" customFormat="1" ht="15.65" hidden="1" customHeight="1" x14ac:dyDescent="0.25">
      <c r="A912" s="281" t="s">
        <v>967</v>
      </c>
      <c r="B912" s="281"/>
      <c r="C912" s="162" t="s">
        <v>904</v>
      </c>
      <c r="D912" s="78" t="s">
        <v>368</v>
      </c>
      <c r="E912" s="243"/>
      <c r="F912" s="77"/>
      <c r="G912" s="247">
        <v>55.84</v>
      </c>
      <c r="H912" s="247">
        <v>60.84</v>
      </c>
      <c r="I912" s="77"/>
      <c r="J912" s="77" t="s">
        <v>382</v>
      </c>
      <c r="K912" s="93">
        <v>45291</v>
      </c>
      <c r="L912" s="77" t="s">
        <v>371</v>
      </c>
      <c r="M912" s="77" t="s">
        <v>20</v>
      </c>
      <c r="N912" s="94" t="s">
        <v>893</v>
      </c>
      <c r="O912" s="95"/>
      <c r="P912" s="95"/>
      <c r="Q912" s="95"/>
      <c r="R912" s="95"/>
      <c r="S912" s="95"/>
      <c r="T912" s="95"/>
      <c r="U912" s="95"/>
      <c r="V912" s="95"/>
      <c r="W912" s="95"/>
      <c r="X912" s="95"/>
      <c r="Y912" s="95"/>
      <c r="Z912" s="95"/>
      <c r="AA912" s="95"/>
      <c r="AB912" s="95"/>
      <c r="AC912" s="95"/>
      <c r="AD912" s="95"/>
      <c r="AE912" s="95"/>
      <c r="AF912" s="95"/>
      <c r="AG912" s="95"/>
      <c r="AH912" s="95"/>
      <c r="AI912" s="95"/>
      <c r="AJ912" s="95"/>
      <c r="AK912" s="95"/>
      <c r="AL912" s="95"/>
      <c r="AM912" s="95"/>
      <c r="AN912" s="95"/>
      <c r="AO912" s="95"/>
      <c r="AP912" s="95"/>
      <c r="AQ912" s="95"/>
      <c r="AR912" s="95"/>
      <c r="AS912" s="95"/>
      <c r="AT912" s="95"/>
    </row>
    <row r="913" spans="1:46" s="89" customFormat="1" ht="15.65" hidden="1" customHeight="1" x14ac:dyDescent="0.35">
      <c r="A913" s="268" t="s">
        <v>222</v>
      </c>
      <c r="B913" s="268"/>
      <c r="C913" s="158" t="s">
        <v>968</v>
      </c>
      <c r="D913" s="78" t="s">
        <v>368</v>
      </c>
      <c r="E913" s="243"/>
      <c r="F913" s="77"/>
      <c r="G913" s="115">
        <v>45</v>
      </c>
      <c r="H913" s="115">
        <v>50</v>
      </c>
      <c r="I913" s="77"/>
      <c r="J913" s="77" t="s">
        <v>969</v>
      </c>
      <c r="K913" s="93">
        <v>45291</v>
      </c>
      <c r="L913" s="77" t="s">
        <v>970</v>
      </c>
      <c r="M913" s="77" t="s">
        <v>20</v>
      </c>
      <c r="N913" s="94"/>
      <c r="O913" s="71"/>
      <c r="P913" s="71"/>
      <c r="Q913" s="71"/>
      <c r="R913" s="71"/>
      <c r="S913" s="71"/>
      <c r="T913" s="71"/>
      <c r="U913" s="71"/>
      <c r="V913" s="71"/>
      <c r="W913" s="71"/>
      <c r="X913" s="71"/>
      <c r="Y913" s="71"/>
      <c r="Z913" s="71"/>
      <c r="AA913" s="71"/>
      <c r="AB913" s="71"/>
      <c r="AC913" s="71"/>
      <c r="AD913" s="71"/>
      <c r="AE913" s="71"/>
      <c r="AF913" s="71"/>
      <c r="AG913" s="71"/>
      <c r="AH913" s="71"/>
      <c r="AI913" s="71"/>
      <c r="AJ913" s="71"/>
      <c r="AK913" s="71"/>
      <c r="AL913" s="71"/>
      <c r="AM913" s="71"/>
      <c r="AN913" s="71"/>
      <c r="AO913" s="71"/>
      <c r="AP913" s="71"/>
      <c r="AQ913" s="71"/>
      <c r="AR913" s="71"/>
      <c r="AS913" s="71"/>
      <c r="AT913" s="71"/>
    </row>
    <row r="914" spans="1:46" s="89" customFormat="1" ht="15.65" hidden="1" customHeight="1" x14ac:dyDescent="0.25">
      <c r="A914" s="281" t="s">
        <v>539</v>
      </c>
      <c r="B914" s="281"/>
      <c r="C914" s="162" t="s">
        <v>971</v>
      </c>
      <c r="D914" s="78" t="s">
        <v>368</v>
      </c>
      <c r="E914" s="243"/>
      <c r="F914" s="77"/>
      <c r="G914" s="247">
        <v>71.2</v>
      </c>
      <c r="H914" s="247">
        <v>76.2</v>
      </c>
      <c r="I914" s="77"/>
      <c r="J914" s="77" t="s">
        <v>382</v>
      </c>
      <c r="K914" s="93">
        <v>45291</v>
      </c>
      <c r="L914" s="77" t="s">
        <v>371</v>
      </c>
      <c r="M914" s="77" t="s">
        <v>20</v>
      </c>
      <c r="N914" s="94" t="s">
        <v>893</v>
      </c>
      <c r="O914" s="71"/>
      <c r="P914" s="71"/>
      <c r="Q914" s="71"/>
      <c r="R914" s="71"/>
      <c r="S914" s="71"/>
      <c r="T914" s="71"/>
      <c r="U914" s="71"/>
      <c r="V914" s="71"/>
      <c r="W914" s="71"/>
      <c r="X914" s="71"/>
      <c r="Y914" s="71"/>
      <c r="Z914" s="71"/>
      <c r="AA914" s="71"/>
      <c r="AB914" s="71"/>
      <c r="AC914" s="71"/>
      <c r="AD914" s="71"/>
      <c r="AE914" s="71"/>
      <c r="AF914" s="71"/>
      <c r="AG914" s="71"/>
      <c r="AH914" s="71"/>
      <c r="AI914" s="71"/>
      <c r="AJ914" s="71"/>
      <c r="AK914" s="71"/>
      <c r="AL914" s="71"/>
      <c r="AM914" s="71"/>
      <c r="AN914" s="71"/>
      <c r="AO914" s="71"/>
      <c r="AP914" s="71"/>
      <c r="AQ914" s="71"/>
      <c r="AR914" s="71"/>
      <c r="AS914" s="71"/>
      <c r="AT914" s="71"/>
    </row>
    <row r="915" spans="1:46" s="89" customFormat="1" ht="15.65" hidden="1" customHeight="1" x14ac:dyDescent="0.25">
      <c r="A915" s="281" t="s">
        <v>229</v>
      </c>
      <c r="B915" s="281"/>
      <c r="C915" s="162" t="s">
        <v>544</v>
      </c>
      <c r="D915" s="78" t="s">
        <v>368</v>
      </c>
      <c r="E915" s="243"/>
      <c r="F915" s="77"/>
      <c r="G915" s="247">
        <v>61.15</v>
      </c>
      <c r="H915" s="247">
        <v>66.150000000000006</v>
      </c>
      <c r="I915" s="77"/>
      <c r="J915" s="77" t="s">
        <v>382</v>
      </c>
      <c r="K915" s="93">
        <v>45291</v>
      </c>
      <c r="L915" s="77" t="s">
        <v>371</v>
      </c>
      <c r="M915" s="77" t="s">
        <v>20</v>
      </c>
      <c r="N915" s="94" t="s">
        <v>893</v>
      </c>
      <c r="O915" s="71"/>
      <c r="P915" s="71"/>
      <c r="Q915" s="71"/>
      <c r="R915" s="71"/>
      <c r="S915" s="71"/>
      <c r="T915" s="71"/>
      <c r="U915" s="71"/>
      <c r="V915" s="71"/>
      <c r="W915" s="71"/>
      <c r="X915" s="71"/>
      <c r="Y915" s="71"/>
      <c r="Z915" s="71"/>
      <c r="AA915" s="71"/>
      <c r="AB915" s="71"/>
      <c r="AC915" s="71"/>
      <c r="AD915" s="71"/>
      <c r="AE915" s="71"/>
      <c r="AF915" s="71"/>
      <c r="AG915" s="71"/>
      <c r="AH915" s="71"/>
      <c r="AI915" s="71"/>
      <c r="AJ915" s="71"/>
      <c r="AK915" s="71"/>
      <c r="AL915" s="71"/>
      <c r="AM915" s="71"/>
      <c r="AN915" s="71"/>
      <c r="AO915" s="71"/>
      <c r="AP915" s="71"/>
      <c r="AQ915" s="71"/>
      <c r="AR915" s="71"/>
      <c r="AS915" s="71"/>
      <c r="AT915" s="71"/>
    </row>
    <row r="916" spans="1:46" s="89" customFormat="1" ht="15.65" hidden="1" customHeight="1" x14ac:dyDescent="0.25">
      <c r="A916" s="274" t="s">
        <v>233</v>
      </c>
      <c r="B916" s="274"/>
      <c r="C916" s="253" t="s">
        <v>972</v>
      </c>
      <c r="D916" s="78" t="s">
        <v>368</v>
      </c>
      <c r="E916" s="243"/>
      <c r="F916" s="77"/>
      <c r="G916" s="115">
        <v>27.427499999999998</v>
      </c>
      <c r="H916" s="247">
        <v>32.427499999999995</v>
      </c>
      <c r="I916" s="77"/>
      <c r="J916" s="77" t="s">
        <v>898</v>
      </c>
      <c r="K916" s="93">
        <v>45291</v>
      </c>
      <c r="L916" s="77" t="s">
        <v>371</v>
      </c>
      <c r="M916" s="77" t="s">
        <v>20</v>
      </c>
      <c r="N916" s="94" t="s">
        <v>373</v>
      </c>
      <c r="O916" s="71"/>
      <c r="P916" s="71"/>
      <c r="Q916" s="71"/>
      <c r="R916" s="71"/>
      <c r="S916" s="71"/>
      <c r="T916" s="71"/>
      <c r="U916" s="71"/>
      <c r="V916" s="71"/>
      <c r="W916" s="71"/>
      <c r="X916" s="71"/>
      <c r="Y916" s="71"/>
      <c r="Z916" s="71"/>
      <c r="AA916" s="71"/>
      <c r="AB916" s="71"/>
      <c r="AC916" s="71"/>
      <c r="AD916" s="71"/>
      <c r="AE916" s="71"/>
      <c r="AF916" s="71"/>
      <c r="AG916" s="71"/>
      <c r="AH916" s="71"/>
      <c r="AI916" s="71"/>
      <c r="AJ916" s="71"/>
      <c r="AK916" s="71"/>
      <c r="AL916" s="71"/>
      <c r="AM916" s="71"/>
      <c r="AN916" s="71"/>
      <c r="AO916" s="71"/>
      <c r="AP916" s="71"/>
      <c r="AQ916" s="71"/>
      <c r="AR916" s="71"/>
      <c r="AS916" s="71"/>
      <c r="AT916" s="71"/>
    </row>
    <row r="917" spans="1:46" ht="15.65" hidden="1" customHeight="1" x14ac:dyDescent="0.35">
      <c r="A917" s="455" t="s">
        <v>81</v>
      </c>
      <c r="B917" s="455"/>
      <c r="C917" s="254" t="s">
        <v>548</v>
      </c>
      <c r="D917" s="78" t="s">
        <v>368</v>
      </c>
      <c r="E917" s="243"/>
      <c r="F917" s="255"/>
      <c r="G917" s="256">
        <v>34.950000000000003</v>
      </c>
      <c r="H917" s="256">
        <f>G917+5</f>
        <v>39.950000000000003</v>
      </c>
      <c r="I917" s="255"/>
      <c r="J917" s="77" t="s">
        <v>973</v>
      </c>
      <c r="K917" s="93">
        <v>45291</v>
      </c>
      <c r="L917" s="77" t="s">
        <v>974</v>
      </c>
      <c r="M917" s="77" t="s">
        <v>20</v>
      </c>
      <c r="N917" s="77" t="s">
        <v>975</v>
      </c>
    </row>
    <row r="918" spans="1:46" ht="15.65" hidden="1" customHeight="1" x14ac:dyDescent="0.35">
      <c r="A918" s="268" t="s">
        <v>235</v>
      </c>
      <c r="B918" s="268"/>
      <c r="C918" s="158" t="s">
        <v>549</v>
      </c>
      <c r="D918" s="78" t="s">
        <v>368</v>
      </c>
      <c r="E918" s="243"/>
      <c r="F918" s="77"/>
      <c r="G918" s="252">
        <v>41.66</v>
      </c>
      <c r="H918" s="252">
        <v>46.66</v>
      </c>
      <c r="I918" s="77"/>
      <c r="J918" s="77" t="s">
        <v>437</v>
      </c>
      <c r="K918" s="93">
        <v>45291</v>
      </c>
      <c r="L918" s="77" t="s">
        <v>965</v>
      </c>
      <c r="M918" s="77" t="s">
        <v>372</v>
      </c>
      <c r="N918" s="94" t="s">
        <v>940</v>
      </c>
    </row>
    <row r="919" spans="1:46" s="89" customFormat="1" ht="15.65" hidden="1" customHeight="1" x14ac:dyDescent="0.25">
      <c r="A919" s="281" t="s">
        <v>235</v>
      </c>
      <c r="B919" s="281"/>
      <c r="C919" s="162" t="s">
        <v>549</v>
      </c>
      <c r="D919" s="78" t="s">
        <v>368</v>
      </c>
      <c r="E919" s="243"/>
      <c r="F919" s="77"/>
      <c r="G919" s="247">
        <v>38.61</v>
      </c>
      <c r="H919" s="247">
        <v>43.61</v>
      </c>
      <c r="I919" s="77"/>
      <c r="J919" s="77" t="s">
        <v>382</v>
      </c>
      <c r="K919" s="93">
        <v>45291</v>
      </c>
      <c r="L919" s="77" t="s">
        <v>371</v>
      </c>
      <c r="M919" s="77" t="s">
        <v>20</v>
      </c>
      <c r="N919" s="94" t="s">
        <v>893</v>
      </c>
      <c r="O919" s="71"/>
      <c r="P919" s="71"/>
      <c r="Q919" s="71"/>
      <c r="R919" s="71"/>
      <c r="S919" s="71"/>
      <c r="T919" s="71"/>
      <c r="U919" s="71"/>
      <c r="V919" s="71"/>
      <c r="W919" s="71"/>
      <c r="X919" s="71"/>
      <c r="Y919" s="71"/>
      <c r="Z919" s="71"/>
      <c r="AA919" s="71"/>
      <c r="AB919" s="71"/>
      <c r="AC919" s="71"/>
      <c r="AD919" s="71"/>
      <c r="AE919" s="71"/>
      <c r="AF919" s="71"/>
      <c r="AG919" s="71"/>
      <c r="AH919" s="71"/>
      <c r="AI919" s="71"/>
      <c r="AJ919" s="71"/>
      <c r="AK919" s="71"/>
      <c r="AL919" s="71"/>
      <c r="AM919" s="71"/>
      <c r="AN919" s="71"/>
      <c r="AO919" s="71"/>
      <c r="AP919" s="71"/>
      <c r="AQ919" s="71"/>
      <c r="AR919" s="71"/>
      <c r="AS919" s="71"/>
      <c r="AT919" s="71"/>
    </row>
    <row r="920" spans="1:46" s="89" customFormat="1" ht="15.65" hidden="1" customHeight="1" x14ac:dyDescent="0.25">
      <c r="A920" s="274" t="s">
        <v>235</v>
      </c>
      <c r="B920" s="274"/>
      <c r="C920" s="253" t="s">
        <v>549</v>
      </c>
      <c r="D920" s="78" t="s">
        <v>368</v>
      </c>
      <c r="E920" s="243"/>
      <c r="F920" s="77"/>
      <c r="G920" s="115">
        <v>32.757749999999994</v>
      </c>
      <c r="H920" s="247">
        <v>37.757749999999994</v>
      </c>
      <c r="I920" s="77"/>
      <c r="J920" s="77" t="s">
        <v>944</v>
      </c>
      <c r="K920" s="93">
        <v>45291</v>
      </c>
      <c r="L920" s="77" t="s">
        <v>371</v>
      </c>
      <c r="M920" s="77" t="s">
        <v>372</v>
      </c>
      <c r="N920" s="94" t="s">
        <v>373</v>
      </c>
      <c r="O920" s="71"/>
      <c r="P920" s="71"/>
      <c r="Q920" s="71"/>
      <c r="R920" s="71"/>
      <c r="S920" s="71"/>
      <c r="T920" s="71"/>
      <c r="U920" s="71"/>
      <c r="V920" s="71"/>
      <c r="W920" s="71"/>
      <c r="X920" s="71"/>
      <c r="Y920" s="71"/>
      <c r="Z920" s="71"/>
      <c r="AA920" s="71"/>
      <c r="AB920" s="71"/>
      <c r="AC920" s="71"/>
      <c r="AD920" s="71"/>
      <c r="AE920" s="71"/>
      <c r="AF920" s="71"/>
      <c r="AG920" s="71"/>
      <c r="AH920" s="71"/>
      <c r="AI920" s="71"/>
      <c r="AJ920" s="71"/>
      <c r="AK920" s="71"/>
      <c r="AL920" s="71"/>
      <c r="AM920" s="71"/>
      <c r="AN920" s="71"/>
      <c r="AO920" s="71"/>
      <c r="AP920" s="71"/>
      <c r="AQ920" s="71"/>
      <c r="AR920" s="71"/>
      <c r="AS920" s="71"/>
      <c r="AT920" s="71"/>
    </row>
    <row r="921" spans="1:46" s="89" customFormat="1" ht="15.65" hidden="1" customHeight="1" x14ac:dyDescent="0.25">
      <c r="A921" s="281" t="s">
        <v>550</v>
      </c>
      <c r="B921" s="281"/>
      <c r="C921" s="162" t="s">
        <v>976</v>
      </c>
      <c r="D921" s="78" t="s">
        <v>368</v>
      </c>
      <c r="E921" s="243"/>
      <c r="F921" s="77"/>
      <c r="G921" s="247">
        <v>37.92</v>
      </c>
      <c r="H921" s="247">
        <v>42.92</v>
      </c>
      <c r="I921" s="77"/>
      <c r="J921" s="77" t="s">
        <v>382</v>
      </c>
      <c r="K921" s="93">
        <v>45291</v>
      </c>
      <c r="L921" s="77" t="s">
        <v>371</v>
      </c>
      <c r="M921" s="77" t="s">
        <v>20</v>
      </c>
      <c r="N921" s="94" t="s">
        <v>893</v>
      </c>
      <c r="O921" s="71"/>
      <c r="P921" s="71"/>
      <c r="Q921" s="71"/>
      <c r="R921" s="71"/>
      <c r="S921" s="71"/>
      <c r="T921" s="71"/>
      <c r="U921" s="71"/>
      <c r="V921" s="71"/>
      <c r="W921" s="71"/>
      <c r="X921" s="71"/>
      <c r="Y921" s="71"/>
      <c r="Z921" s="71"/>
      <c r="AA921" s="71"/>
      <c r="AB921" s="71"/>
      <c r="AC921" s="71"/>
      <c r="AD921" s="71"/>
      <c r="AE921" s="71"/>
      <c r="AF921" s="71"/>
      <c r="AG921" s="71"/>
      <c r="AH921" s="71"/>
      <c r="AI921" s="71"/>
      <c r="AJ921" s="71"/>
      <c r="AK921" s="71"/>
      <c r="AL921" s="71"/>
      <c r="AM921" s="71"/>
      <c r="AN921" s="71"/>
      <c r="AO921" s="71"/>
      <c r="AP921" s="71"/>
      <c r="AQ921" s="71"/>
      <c r="AR921" s="71"/>
      <c r="AS921" s="71"/>
      <c r="AT921" s="71"/>
    </row>
    <row r="922" spans="1:46" s="89" customFormat="1" ht="15.65" hidden="1" customHeight="1" x14ac:dyDescent="0.25">
      <c r="A922" s="274" t="s">
        <v>550</v>
      </c>
      <c r="B922" s="274"/>
      <c r="C922" s="253" t="s">
        <v>976</v>
      </c>
      <c r="D922" s="78" t="s">
        <v>368</v>
      </c>
      <c r="E922" s="243"/>
      <c r="F922" s="77"/>
      <c r="G922" s="115">
        <v>40.67</v>
      </c>
      <c r="H922" s="247">
        <v>45.67</v>
      </c>
      <c r="I922" s="77"/>
      <c r="J922" s="77" t="s">
        <v>977</v>
      </c>
      <c r="K922" s="93">
        <v>45291</v>
      </c>
      <c r="L922" s="77" t="s">
        <v>371</v>
      </c>
      <c r="M922" s="77" t="s">
        <v>401</v>
      </c>
      <c r="N922" s="94" t="s">
        <v>373</v>
      </c>
      <c r="O922" s="71"/>
      <c r="P922" s="71"/>
      <c r="Q922" s="71"/>
      <c r="R922" s="71"/>
      <c r="S922" s="71"/>
      <c r="T922" s="71"/>
      <c r="U922" s="71"/>
      <c r="V922" s="71"/>
      <c r="W922" s="71"/>
      <c r="X922" s="71"/>
      <c r="Y922" s="71"/>
      <c r="Z922" s="71"/>
      <c r="AA922" s="71"/>
      <c r="AB922" s="71"/>
      <c r="AC922" s="71"/>
      <c r="AD922" s="71"/>
      <c r="AE922" s="71"/>
      <c r="AF922" s="71"/>
      <c r="AG922" s="71"/>
      <c r="AH922" s="71"/>
      <c r="AI922" s="71"/>
      <c r="AJ922" s="71"/>
      <c r="AK922" s="71"/>
      <c r="AL922" s="71"/>
      <c r="AM922" s="71"/>
      <c r="AN922" s="71"/>
      <c r="AO922" s="71"/>
      <c r="AP922" s="71"/>
      <c r="AQ922" s="71"/>
      <c r="AR922" s="71"/>
      <c r="AS922" s="71"/>
      <c r="AT922" s="71"/>
    </row>
    <row r="923" spans="1:46" s="89" customFormat="1" ht="15.65" hidden="1" customHeight="1" x14ac:dyDescent="0.35">
      <c r="A923" s="268" t="s">
        <v>555</v>
      </c>
      <c r="B923" s="268"/>
      <c r="C923" s="158" t="s">
        <v>978</v>
      </c>
      <c r="D923" s="78" t="s">
        <v>368</v>
      </c>
      <c r="E923" s="243"/>
      <c r="F923" s="77"/>
      <c r="G923" s="115">
        <v>42</v>
      </c>
      <c r="H923" s="115">
        <v>47</v>
      </c>
      <c r="I923" s="77"/>
      <c r="J923" s="77" t="s">
        <v>979</v>
      </c>
      <c r="K923" s="93">
        <v>45291</v>
      </c>
      <c r="L923" s="77" t="s">
        <v>970</v>
      </c>
      <c r="M923" s="77" t="s">
        <v>20</v>
      </c>
      <c r="N923" s="94"/>
      <c r="O923" s="71"/>
      <c r="P923" s="71"/>
      <c r="Q923" s="71"/>
      <c r="R923" s="71"/>
      <c r="S923" s="71"/>
      <c r="T923" s="71"/>
      <c r="U923" s="71"/>
      <c r="V923" s="71"/>
      <c r="W923" s="71"/>
      <c r="X923" s="71"/>
      <c r="Y923" s="71"/>
      <c r="Z923" s="71"/>
      <c r="AA923" s="71"/>
      <c r="AB923" s="71"/>
      <c r="AC923" s="71"/>
      <c r="AD923" s="71"/>
      <c r="AE923" s="71"/>
      <c r="AF923" s="71"/>
      <c r="AG923" s="71"/>
      <c r="AH923" s="71"/>
      <c r="AI923" s="71"/>
      <c r="AJ923" s="71"/>
      <c r="AK923" s="71"/>
      <c r="AL923" s="71"/>
      <c r="AM923" s="71"/>
      <c r="AN923" s="71"/>
      <c r="AO923" s="71"/>
      <c r="AP923" s="71"/>
      <c r="AQ923" s="71"/>
      <c r="AR923" s="71"/>
      <c r="AS923" s="71"/>
      <c r="AT923" s="71"/>
    </row>
    <row r="924" spans="1:46" s="89" customFormat="1" ht="15.65" hidden="1" customHeight="1" x14ac:dyDescent="0.25">
      <c r="A924" s="281" t="s">
        <v>980</v>
      </c>
      <c r="B924" s="281"/>
      <c r="C924" s="162" t="s">
        <v>981</v>
      </c>
      <c r="D924" s="78" t="s">
        <v>368</v>
      </c>
      <c r="E924" s="243"/>
      <c r="F924" s="77"/>
      <c r="G924" s="247">
        <v>55.45</v>
      </c>
      <c r="H924" s="247">
        <v>60.45</v>
      </c>
      <c r="I924" s="77"/>
      <c r="J924" s="77" t="s">
        <v>382</v>
      </c>
      <c r="K924" s="93">
        <v>45291</v>
      </c>
      <c r="L924" s="77" t="s">
        <v>371</v>
      </c>
      <c r="M924" s="77" t="s">
        <v>20</v>
      </c>
      <c r="N924" s="94" t="s">
        <v>893</v>
      </c>
      <c r="O924" s="71"/>
      <c r="P924" s="71"/>
      <c r="Q924" s="71"/>
      <c r="R924" s="71"/>
      <c r="S924" s="71"/>
      <c r="T924" s="71"/>
      <c r="U924" s="71"/>
      <c r="V924" s="71"/>
      <c r="W924" s="71"/>
      <c r="X924" s="71"/>
      <c r="Y924" s="71"/>
      <c r="Z924" s="71"/>
      <c r="AA924" s="71"/>
      <c r="AB924" s="71"/>
      <c r="AC924" s="71"/>
      <c r="AD924" s="71"/>
      <c r="AE924" s="71"/>
      <c r="AF924" s="71"/>
      <c r="AG924" s="71"/>
      <c r="AH924" s="71"/>
      <c r="AI924" s="71"/>
      <c r="AJ924" s="71"/>
      <c r="AK924" s="71"/>
      <c r="AL924" s="71"/>
      <c r="AM924" s="71"/>
      <c r="AN924" s="71"/>
      <c r="AO924" s="71"/>
      <c r="AP924" s="71"/>
      <c r="AQ924" s="71"/>
      <c r="AR924" s="71"/>
      <c r="AS924" s="71"/>
      <c r="AT924" s="71"/>
    </row>
    <row r="925" spans="1:46" s="89" customFormat="1" ht="15.65" hidden="1" customHeight="1" x14ac:dyDescent="0.25">
      <c r="A925" s="264" t="s">
        <v>245</v>
      </c>
      <c r="B925" s="264"/>
      <c r="C925" s="242" t="s">
        <v>982</v>
      </c>
      <c r="D925" s="78" t="s">
        <v>368</v>
      </c>
      <c r="E925" s="243"/>
      <c r="F925" s="77"/>
      <c r="G925" s="257" t="s">
        <v>983</v>
      </c>
      <c r="H925" s="247">
        <v>53.61</v>
      </c>
      <c r="I925" s="77"/>
      <c r="J925" s="77" t="s">
        <v>437</v>
      </c>
      <c r="K925" s="93" t="s">
        <v>902</v>
      </c>
      <c r="L925" s="77" t="s">
        <v>984</v>
      </c>
      <c r="M925" s="77" t="s">
        <v>372</v>
      </c>
      <c r="N925" s="94" t="s">
        <v>373</v>
      </c>
      <c r="O925" s="71"/>
      <c r="P925" s="71"/>
      <c r="Q925" s="71"/>
      <c r="R925" s="71"/>
      <c r="S925" s="71"/>
      <c r="T925" s="71"/>
      <c r="U925" s="71"/>
      <c r="V925" s="71"/>
      <c r="W925" s="71"/>
      <c r="X925" s="71"/>
      <c r="Y925" s="71"/>
      <c r="Z925" s="71"/>
      <c r="AA925" s="71"/>
      <c r="AB925" s="71"/>
      <c r="AC925" s="71"/>
      <c r="AD925" s="71"/>
      <c r="AE925" s="71"/>
      <c r="AF925" s="71"/>
      <c r="AG925" s="71"/>
      <c r="AH925" s="71"/>
      <c r="AI925" s="71"/>
      <c r="AJ925" s="71"/>
      <c r="AK925" s="71"/>
      <c r="AL925" s="71"/>
      <c r="AM925" s="71"/>
      <c r="AN925" s="71"/>
      <c r="AO925" s="71"/>
      <c r="AP925" s="71"/>
      <c r="AQ925" s="71"/>
      <c r="AR925" s="71"/>
      <c r="AS925" s="71"/>
      <c r="AT925" s="71"/>
    </row>
    <row r="926" spans="1:46" s="89" customFormat="1" ht="15.65" hidden="1" customHeight="1" x14ac:dyDescent="0.25">
      <c r="A926" s="281" t="s">
        <v>245</v>
      </c>
      <c r="B926" s="281"/>
      <c r="C926" s="162" t="s">
        <v>985</v>
      </c>
      <c r="D926" s="78" t="s">
        <v>368</v>
      </c>
      <c r="E926" s="243"/>
      <c r="F926" s="77"/>
      <c r="G926" s="247">
        <v>61.3</v>
      </c>
      <c r="H926" s="247">
        <v>66.3</v>
      </c>
      <c r="I926" s="77"/>
      <c r="J926" s="77" t="s">
        <v>382</v>
      </c>
      <c r="K926" s="93">
        <v>45291</v>
      </c>
      <c r="L926" s="77" t="s">
        <v>371</v>
      </c>
      <c r="M926" s="77" t="s">
        <v>20</v>
      </c>
      <c r="N926" s="94" t="s">
        <v>893</v>
      </c>
      <c r="O926" s="71"/>
      <c r="P926" s="71"/>
      <c r="Q926" s="71"/>
      <c r="R926" s="71"/>
      <c r="S926" s="71"/>
      <c r="T926" s="71"/>
      <c r="U926" s="71"/>
      <c r="V926" s="71"/>
      <c r="W926" s="71"/>
      <c r="X926" s="71"/>
      <c r="Y926" s="71"/>
      <c r="Z926" s="71"/>
      <c r="AA926" s="71"/>
      <c r="AB926" s="71"/>
      <c r="AC926" s="71"/>
      <c r="AD926" s="71"/>
      <c r="AE926" s="71"/>
      <c r="AF926" s="71"/>
      <c r="AG926" s="71"/>
      <c r="AH926" s="71"/>
      <c r="AI926" s="71"/>
      <c r="AJ926" s="71"/>
      <c r="AK926" s="71"/>
      <c r="AL926" s="71"/>
      <c r="AM926" s="71"/>
      <c r="AN926" s="71"/>
      <c r="AO926" s="71"/>
      <c r="AP926" s="71"/>
      <c r="AQ926" s="71"/>
      <c r="AR926" s="71"/>
      <c r="AS926" s="71"/>
      <c r="AT926" s="71"/>
    </row>
    <row r="927" spans="1:46" ht="15.65" hidden="1" customHeight="1" x14ac:dyDescent="0.25">
      <c r="A927" s="281" t="s">
        <v>249</v>
      </c>
      <c r="B927" s="281"/>
      <c r="C927" s="162" t="s">
        <v>574</v>
      </c>
      <c r="D927" s="78" t="s">
        <v>368</v>
      </c>
      <c r="E927" s="75" t="s">
        <v>986</v>
      </c>
      <c r="F927" s="77" t="s">
        <v>986</v>
      </c>
      <c r="G927" s="247">
        <v>81.150000000000006</v>
      </c>
      <c r="H927" s="247">
        <v>86.15</v>
      </c>
      <c r="I927" s="77"/>
      <c r="J927" s="77" t="s">
        <v>382</v>
      </c>
      <c r="K927" s="93">
        <v>45291</v>
      </c>
      <c r="L927" s="77" t="s">
        <v>371</v>
      </c>
      <c r="M927" s="77" t="s">
        <v>20</v>
      </c>
      <c r="N927" s="94" t="s">
        <v>893</v>
      </c>
    </row>
    <row r="928" spans="1:46" s="89" customFormat="1" ht="15.65" hidden="1" customHeight="1" x14ac:dyDescent="0.25">
      <c r="A928" s="274" t="s">
        <v>253</v>
      </c>
      <c r="B928" s="274"/>
      <c r="C928" s="158" t="s">
        <v>581</v>
      </c>
      <c r="D928" s="78" t="s">
        <v>368</v>
      </c>
      <c r="E928" s="243"/>
      <c r="F928" s="77"/>
      <c r="G928" s="115">
        <v>67.32674999999999</v>
      </c>
      <c r="H928" s="247">
        <v>72.32674999999999</v>
      </c>
      <c r="I928" s="77"/>
      <c r="J928" s="77" t="s">
        <v>921</v>
      </c>
      <c r="K928" s="93">
        <v>45291</v>
      </c>
      <c r="L928" s="77" t="s">
        <v>371</v>
      </c>
      <c r="M928" s="77" t="s">
        <v>20</v>
      </c>
      <c r="N928" s="94" t="s">
        <v>373</v>
      </c>
      <c r="O928" s="71"/>
      <c r="P928" s="71"/>
      <c r="Q928" s="71"/>
      <c r="R928" s="71"/>
      <c r="S928" s="71"/>
      <c r="T928" s="71"/>
      <c r="U928" s="71"/>
      <c r="V928" s="71"/>
      <c r="W928" s="71"/>
      <c r="X928" s="71"/>
      <c r="Y928" s="71"/>
      <c r="Z928" s="71"/>
      <c r="AA928" s="71"/>
      <c r="AB928" s="71"/>
      <c r="AC928" s="71"/>
      <c r="AD928" s="71"/>
      <c r="AE928" s="71"/>
      <c r="AF928" s="71"/>
      <c r="AG928" s="71"/>
      <c r="AH928" s="71"/>
      <c r="AI928" s="71"/>
      <c r="AJ928" s="71"/>
      <c r="AK928" s="71"/>
      <c r="AL928" s="71"/>
      <c r="AM928" s="71"/>
      <c r="AN928" s="71"/>
      <c r="AO928" s="71"/>
      <c r="AP928" s="71"/>
      <c r="AQ928" s="71"/>
      <c r="AR928" s="71"/>
      <c r="AS928" s="71"/>
      <c r="AT928" s="71"/>
    </row>
    <row r="929" spans="1:46" s="89" customFormat="1" ht="15.65" hidden="1" customHeight="1" x14ac:dyDescent="0.25">
      <c r="A929" s="274" t="s">
        <v>588</v>
      </c>
      <c r="B929" s="274"/>
      <c r="C929" s="158" t="s">
        <v>589</v>
      </c>
      <c r="D929" s="78" t="s">
        <v>368</v>
      </c>
      <c r="E929" s="243"/>
      <c r="F929" s="77"/>
      <c r="G929" s="115">
        <v>132.47999999999999</v>
      </c>
      <c r="H929" s="247">
        <v>137.47999999999999</v>
      </c>
      <c r="I929" s="77"/>
      <c r="J929" s="77" t="s">
        <v>955</v>
      </c>
      <c r="K929" s="93">
        <v>45291</v>
      </c>
      <c r="L929" s="77" t="s">
        <v>371</v>
      </c>
      <c r="M929" s="77" t="s">
        <v>20</v>
      </c>
      <c r="N929" s="94" t="s">
        <v>373</v>
      </c>
      <c r="O929" s="71"/>
      <c r="P929" s="71"/>
      <c r="Q929" s="71"/>
      <c r="R929" s="71"/>
      <c r="S929" s="71"/>
      <c r="T929" s="71"/>
      <c r="U929" s="71"/>
      <c r="V929" s="71"/>
      <c r="W929" s="71"/>
      <c r="X929" s="71"/>
      <c r="Y929" s="71"/>
      <c r="Z929" s="71"/>
      <c r="AA929" s="71"/>
      <c r="AB929" s="71"/>
      <c r="AC929" s="71"/>
      <c r="AD929" s="71"/>
      <c r="AE929" s="71"/>
      <c r="AF929" s="71"/>
      <c r="AG929" s="71"/>
      <c r="AH929" s="71"/>
      <c r="AI929" s="71"/>
      <c r="AJ929" s="71"/>
      <c r="AK929" s="71"/>
      <c r="AL929" s="71"/>
      <c r="AM929" s="71"/>
      <c r="AN929" s="71"/>
      <c r="AO929" s="71"/>
      <c r="AP929" s="71"/>
      <c r="AQ929" s="71"/>
      <c r="AR929" s="71"/>
      <c r="AS929" s="71"/>
      <c r="AT929" s="71"/>
    </row>
    <row r="930" spans="1:46" s="89" customFormat="1" ht="15.65" hidden="1" customHeight="1" x14ac:dyDescent="0.35">
      <c r="A930" s="268" t="s">
        <v>591</v>
      </c>
      <c r="B930" s="268"/>
      <c r="C930" s="158" t="s">
        <v>592</v>
      </c>
      <c r="D930" s="78" t="s">
        <v>368</v>
      </c>
      <c r="E930" s="243"/>
      <c r="F930" s="77"/>
      <c r="G930" s="115">
        <v>93</v>
      </c>
      <c r="H930" s="115">
        <v>98</v>
      </c>
      <c r="I930" s="77"/>
      <c r="J930" s="77" t="s">
        <v>969</v>
      </c>
      <c r="K930" s="93">
        <v>45291</v>
      </c>
      <c r="L930" s="77" t="s">
        <v>987</v>
      </c>
      <c r="M930" s="77" t="s">
        <v>100</v>
      </c>
      <c r="N930" s="94"/>
      <c r="O930" s="71"/>
      <c r="P930" s="71"/>
      <c r="Q930" s="71"/>
      <c r="R930" s="71"/>
      <c r="S930" s="71"/>
      <c r="T930" s="71"/>
      <c r="U930" s="71"/>
      <c r="V930" s="71"/>
      <c r="W930" s="71"/>
      <c r="X930" s="71"/>
      <c r="Y930" s="71"/>
      <c r="Z930" s="71"/>
      <c r="AA930" s="71"/>
      <c r="AB930" s="71"/>
      <c r="AC930" s="71"/>
      <c r="AD930" s="71"/>
      <c r="AE930" s="71"/>
      <c r="AF930" s="71"/>
      <c r="AG930" s="71"/>
      <c r="AH930" s="71"/>
      <c r="AI930" s="71"/>
      <c r="AJ930" s="71"/>
      <c r="AK930" s="71"/>
      <c r="AL930" s="71"/>
      <c r="AM930" s="71"/>
      <c r="AN930" s="71"/>
      <c r="AO930" s="71"/>
      <c r="AP930" s="71"/>
      <c r="AQ930" s="71"/>
      <c r="AR930" s="71"/>
      <c r="AS930" s="71"/>
      <c r="AT930" s="71"/>
    </row>
    <row r="931" spans="1:46" s="96" customFormat="1" ht="15.65" hidden="1" customHeight="1" x14ac:dyDescent="0.35">
      <c r="A931" s="268" t="s">
        <v>988</v>
      </c>
      <c r="B931" s="268"/>
      <c r="C931" s="158" t="s">
        <v>989</v>
      </c>
      <c r="D931" s="78" t="s">
        <v>368</v>
      </c>
      <c r="E931" s="243"/>
      <c r="F931" s="77"/>
      <c r="G931" s="115">
        <v>35</v>
      </c>
      <c r="H931" s="115">
        <v>40</v>
      </c>
      <c r="I931" s="77"/>
      <c r="J931" s="77" t="s">
        <v>979</v>
      </c>
      <c r="K931" s="93">
        <v>45291</v>
      </c>
      <c r="L931" s="77" t="s">
        <v>990</v>
      </c>
      <c r="M931" s="77" t="s">
        <v>20</v>
      </c>
      <c r="N931" s="94" t="s">
        <v>920</v>
      </c>
      <c r="O931" s="95"/>
      <c r="P931" s="95"/>
      <c r="Q931" s="95"/>
      <c r="R931" s="95"/>
      <c r="S931" s="95"/>
      <c r="T931" s="95"/>
      <c r="U931" s="95"/>
      <c r="V931" s="95"/>
      <c r="W931" s="95"/>
      <c r="X931" s="95"/>
      <c r="Y931" s="95"/>
      <c r="Z931" s="95"/>
      <c r="AA931" s="95"/>
      <c r="AB931" s="95"/>
      <c r="AC931" s="95"/>
      <c r="AD931" s="95"/>
      <c r="AE931" s="95"/>
      <c r="AF931" s="95"/>
      <c r="AG931" s="95"/>
      <c r="AH931" s="95"/>
      <c r="AI931" s="95"/>
      <c r="AJ931" s="95"/>
      <c r="AK931" s="95"/>
      <c r="AL931" s="95"/>
      <c r="AM931" s="95"/>
      <c r="AN931" s="95"/>
      <c r="AO931" s="95"/>
      <c r="AP931" s="95"/>
      <c r="AQ931" s="95"/>
      <c r="AR931" s="95"/>
      <c r="AS931" s="95"/>
      <c r="AT931" s="95"/>
    </row>
    <row r="932" spans="1:46" s="96" customFormat="1" ht="15.65" hidden="1" customHeight="1" x14ac:dyDescent="0.25">
      <c r="A932" s="281" t="s">
        <v>264</v>
      </c>
      <c r="B932" s="281"/>
      <c r="C932" s="162" t="s">
        <v>991</v>
      </c>
      <c r="D932" s="78" t="s">
        <v>368</v>
      </c>
      <c r="E932" s="243"/>
      <c r="F932" s="77"/>
      <c r="G932" s="247">
        <v>65.8</v>
      </c>
      <c r="H932" s="247">
        <v>70.8</v>
      </c>
      <c r="I932" s="77"/>
      <c r="J932" s="77" t="s">
        <v>382</v>
      </c>
      <c r="K932" s="93">
        <v>45291</v>
      </c>
      <c r="L932" s="77" t="s">
        <v>371</v>
      </c>
      <c r="M932" s="77" t="s">
        <v>20</v>
      </c>
      <c r="N932" s="94" t="s">
        <v>893</v>
      </c>
      <c r="O932" s="95"/>
      <c r="P932" s="95"/>
      <c r="Q932" s="95"/>
      <c r="R932" s="95"/>
      <c r="S932" s="95"/>
      <c r="T932" s="95"/>
      <c r="U932" s="95"/>
      <c r="V932" s="95"/>
      <c r="W932" s="95"/>
      <c r="X932" s="95"/>
      <c r="Y932" s="95"/>
      <c r="Z932" s="95"/>
      <c r="AA932" s="95"/>
      <c r="AB932" s="95"/>
      <c r="AC932" s="95"/>
      <c r="AD932" s="95"/>
      <c r="AE932" s="95"/>
      <c r="AF932" s="95"/>
      <c r="AG932" s="95"/>
      <c r="AH932" s="95"/>
      <c r="AI932" s="95"/>
      <c r="AJ932" s="95"/>
      <c r="AK932" s="95"/>
      <c r="AL932" s="95"/>
      <c r="AM932" s="95"/>
      <c r="AN932" s="95"/>
      <c r="AO932" s="95"/>
      <c r="AP932" s="95"/>
      <c r="AQ932" s="95"/>
      <c r="AR932" s="95"/>
      <c r="AS932" s="95"/>
      <c r="AT932" s="95"/>
    </row>
    <row r="933" spans="1:46" s="89" customFormat="1" ht="15.65" hidden="1" customHeight="1" x14ac:dyDescent="0.35">
      <c r="A933" s="268" t="s">
        <v>603</v>
      </c>
      <c r="B933" s="268"/>
      <c r="C933" s="158" t="s">
        <v>426</v>
      </c>
      <c r="D933" s="78" t="s">
        <v>368</v>
      </c>
      <c r="E933" s="243"/>
      <c r="F933" s="77"/>
      <c r="G933" s="252">
        <v>85.64</v>
      </c>
      <c r="H933" s="252">
        <v>90.64</v>
      </c>
      <c r="I933" s="77"/>
      <c r="J933" s="77" t="s">
        <v>973</v>
      </c>
      <c r="K933" s="93">
        <v>45291</v>
      </c>
      <c r="L933" s="77" t="s">
        <v>992</v>
      </c>
      <c r="M933" s="77" t="s">
        <v>20</v>
      </c>
      <c r="N933" s="94" t="s">
        <v>929</v>
      </c>
      <c r="O933" s="71"/>
      <c r="P933" s="71"/>
      <c r="Q933" s="71"/>
      <c r="R933" s="71"/>
      <c r="S933" s="71"/>
      <c r="T933" s="71"/>
      <c r="U933" s="71"/>
      <c r="V933" s="71"/>
      <c r="W933" s="71"/>
      <c r="X933" s="71"/>
      <c r="Y933" s="71"/>
      <c r="Z933" s="71"/>
      <c r="AA933" s="71"/>
      <c r="AB933" s="71"/>
      <c r="AC933" s="71"/>
      <c r="AD933" s="71"/>
      <c r="AE933" s="71"/>
      <c r="AF933" s="71"/>
      <c r="AG933" s="71"/>
      <c r="AH933" s="71"/>
      <c r="AI933" s="71"/>
      <c r="AJ933" s="71"/>
      <c r="AK933" s="71"/>
      <c r="AL933" s="71"/>
      <c r="AM933" s="71"/>
      <c r="AN933" s="71"/>
      <c r="AO933" s="71"/>
      <c r="AP933" s="71"/>
      <c r="AQ933" s="71"/>
      <c r="AR933" s="71"/>
      <c r="AS933" s="71"/>
      <c r="AT933" s="71"/>
    </row>
    <row r="934" spans="1:46" s="89" customFormat="1" ht="15.65" hidden="1" customHeight="1" x14ac:dyDescent="0.25">
      <c r="A934" s="274" t="s">
        <v>603</v>
      </c>
      <c r="B934" s="274"/>
      <c r="C934" s="158" t="s">
        <v>426</v>
      </c>
      <c r="D934" s="78" t="s">
        <v>368</v>
      </c>
      <c r="E934" s="243"/>
      <c r="F934" s="77"/>
      <c r="G934" s="115">
        <v>85.635899999999992</v>
      </c>
      <c r="H934" s="247">
        <v>90.635899999999992</v>
      </c>
      <c r="I934" s="77"/>
      <c r="J934" s="77" t="s">
        <v>907</v>
      </c>
      <c r="K934" s="93">
        <v>45291</v>
      </c>
      <c r="L934" s="77" t="s">
        <v>371</v>
      </c>
      <c r="M934" s="77" t="s">
        <v>372</v>
      </c>
      <c r="N934" s="94" t="s">
        <v>373</v>
      </c>
      <c r="O934" s="71"/>
      <c r="P934" s="71"/>
      <c r="Q934" s="71"/>
      <c r="R934" s="71"/>
      <c r="S934" s="71"/>
      <c r="T934" s="71"/>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c r="AS934" s="71"/>
      <c r="AT934" s="71"/>
    </row>
    <row r="935" spans="1:46" ht="15.65" hidden="1" customHeight="1" x14ac:dyDescent="0.35">
      <c r="A935" s="268" t="s">
        <v>993</v>
      </c>
      <c r="B935" s="268"/>
      <c r="C935" s="158" t="s">
        <v>994</v>
      </c>
      <c r="D935" s="78" t="s">
        <v>368</v>
      </c>
      <c r="E935" s="168"/>
      <c r="F935" s="77"/>
      <c r="G935" s="252">
        <v>47</v>
      </c>
      <c r="H935" s="252">
        <v>52</v>
      </c>
      <c r="I935" s="77"/>
      <c r="J935" s="77" t="s">
        <v>995</v>
      </c>
      <c r="K935" s="93">
        <v>45291</v>
      </c>
      <c r="L935" s="77" t="s">
        <v>992</v>
      </c>
      <c r="M935" s="77" t="s">
        <v>20</v>
      </c>
      <c r="N935" s="94" t="s">
        <v>996</v>
      </c>
    </row>
    <row r="936" spans="1:46" s="89" customFormat="1" ht="15.65" hidden="1" customHeight="1" x14ac:dyDescent="0.35">
      <c r="A936" s="268" t="s">
        <v>613</v>
      </c>
      <c r="B936" s="268"/>
      <c r="C936" s="77" t="s">
        <v>614</v>
      </c>
      <c r="D936" s="78" t="s">
        <v>368</v>
      </c>
      <c r="E936" s="243"/>
      <c r="F936" s="77"/>
      <c r="G936" s="115">
        <v>76</v>
      </c>
      <c r="H936" s="115">
        <v>81</v>
      </c>
      <c r="I936" s="77"/>
      <c r="J936" s="77" t="s">
        <v>376</v>
      </c>
      <c r="K936" s="93">
        <v>45291</v>
      </c>
      <c r="L936" s="94" t="s">
        <v>934</v>
      </c>
      <c r="M936" s="77" t="s">
        <v>20</v>
      </c>
      <c r="N936" s="94" t="s">
        <v>920</v>
      </c>
      <c r="O936" s="71"/>
      <c r="P936" s="71"/>
      <c r="Q936" s="71"/>
      <c r="R936" s="71"/>
      <c r="S936" s="71"/>
      <c r="T936" s="71"/>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c r="AS936" s="71"/>
      <c r="AT936" s="71"/>
    </row>
    <row r="937" spans="1:46" s="89" customFormat="1" ht="15.65" hidden="1" customHeight="1" x14ac:dyDescent="0.25">
      <c r="A937" s="281" t="s">
        <v>621</v>
      </c>
      <c r="B937" s="281"/>
      <c r="C937" s="162" t="s">
        <v>622</v>
      </c>
      <c r="D937" s="78" t="s">
        <v>368</v>
      </c>
      <c r="E937" s="243"/>
      <c r="F937" s="77"/>
      <c r="G937" s="247">
        <v>41</v>
      </c>
      <c r="H937" s="247">
        <v>46</v>
      </c>
      <c r="I937" s="77"/>
      <c r="J937" s="77" t="s">
        <v>382</v>
      </c>
      <c r="K937" s="93">
        <v>45291</v>
      </c>
      <c r="L937" s="77" t="s">
        <v>371</v>
      </c>
      <c r="M937" s="77" t="s">
        <v>20</v>
      </c>
      <c r="N937" s="94" t="s">
        <v>893</v>
      </c>
      <c r="O937" s="71"/>
      <c r="P937" s="71"/>
      <c r="Q937" s="71"/>
      <c r="R937" s="71"/>
      <c r="S937" s="71"/>
      <c r="T937" s="71"/>
      <c r="U937" s="71"/>
      <c r="V937" s="71"/>
      <c r="W937" s="71"/>
      <c r="X937" s="71"/>
      <c r="Y937" s="71"/>
      <c r="Z937" s="71"/>
      <c r="AA937" s="71"/>
      <c r="AB937" s="71"/>
      <c r="AC937" s="71"/>
      <c r="AD937" s="71"/>
      <c r="AE937" s="71"/>
      <c r="AF937" s="71"/>
      <c r="AG937" s="71"/>
      <c r="AH937" s="71"/>
      <c r="AI937" s="71"/>
      <c r="AJ937" s="71"/>
      <c r="AK937" s="71"/>
      <c r="AL937" s="71"/>
      <c r="AM937" s="71"/>
      <c r="AN937" s="71"/>
      <c r="AO937" s="71"/>
      <c r="AP937" s="71"/>
      <c r="AQ937" s="71"/>
      <c r="AR937" s="71"/>
      <c r="AS937" s="71"/>
      <c r="AT937" s="71"/>
    </row>
    <row r="938" spans="1:46" s="89" customFormat="1" ht="15.65" hidden="1" customHeight="1" x14ac:dyDescent="0.25">
      <c r="A938" s="281" t="s">
        <v>274</v>
      </c>
      <c r="B938" s="281"/>
      <c r="C938" s="162" t="s">
        <v>623</v>
      </c>
      <c r="D938" s="78" t="s">
        <v>368</v>
      </c>
      <c r="E938" s="243"/>
      <c r="F938" s="77"/>
      <c r="G938" s="247">
        <v>50.3</v>
      </c>
      <c r="H938" s="247">
        <v>55.3</v>
      </c>
      <c r="I938" s="77"/>
      <c r="J938" s="77" t="s">
        <v>382</v>
      </c>
      <c r="K938" s="93">
        <v>45291</v>
      </c>
      <c r="L938" s="77" t="s">
        <v>371</v>
      </c>
      <c r="M938" s="77" t="s">
        <v>20</v>
      </c>
      <c r="N938" s="94" t="s">
        <v>893</v>
      </c>
      <c r="O938" s="71"/>
      <c r="P938" s="71"/>
      <c r="Q938" s="71"/>
      <c r="R938" s="71"/>
      <c r="S938" s="71"/>
      <c r="T938" s="71"/>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c r="AS938" s="71"/>
      <c r="AT938" s="71"/>
    </row>
    <row r="939" spans="1:46" s="89" customFormat="1" ht="15.65" hidden="1" customHeight="1" x14ac:dyDescent="0.25">
      <c r="A939" s="274" t="s">
        <v>274</v>
      </c>
      <c r="B939" s="274"/>
      <c r="C939" s="158" t="s">
        <v>623</v>
      </c>
      <c r="D939" s="78" t="s">
        <v>368</v>
      </c>
      <c r="E939" s="243"/>
      <c r="F939" s="77"/>
      <c r="G939" s="115">
        <v>46.316249999999997</v>
      </c>
      <c r="H939" s="247">
        <v>51.316249999999997</v>
      </c>
      <c r="I939" s="77"/>
      <c r="J939" s="77" t="s">
        <v>907</v>
      </c>
      <c r="K939" s="93">
        <v>45291</v>
      </c>
      <c r="L939" s="77" t="s">
        <v>371</v>
      </c>
      <c r="M939" s="77" t="s">
        <v>372</v>
      </c>
      <c r="N939" s="94" t="s">
        <v>373</v>
      </c>
      <c r="O939" s="71"/>
      <c r="P939" s="71"/>
      <c r="Q939" s="71"/>
      <c r="R939" s="71"/>
      <c r="S939" s="71"/>
      <c r="T939" s="71"/>
      <c r="U939" s="71"/>
      <c r="V939" s="71"/>
      <c r="W939" s="71"/>
      <c r="X939" s="71"/>
      <c r="Y939" s="71"/>
      <c r="Z939" s="71"/>
      <c r="AA939" s="71"/>
      <c r="AB939" s="71"/>
      <c r="AC939" s="71"/>
      <c r="AD939" s="71"/>
      <c r="AE939" s="71"/>
      <c r="AF939" s="71"/>
      <c r="AG939" s="71"/>
      <c r="AH939" s="71"/>
      <c r="AI939" s="71"/>
      <c r="AJ939" s="71"/>
      <c r="AK939" s="71"/>
      <c r="AL939" s="71"/>
      <c r="AM939" s="71"/>
      <c r="AN939" s="71"/>
      <c r="AO939" s="71"/>
      <c r="AP939" s="71"/>
      <c r="AQ939" s="71"/>
      <c r="AR939" s="71"/>
      <c r="AS939" s="71"/>
      <c r="AT939" s="71"/>
    </row>
    <row r="940" spans="1:46" s="89" customFormat="1" ht="15.65" hidden="1" customHeight="1" x14ac:dyDescent="0.25">
      <c r="A940" s="281" t="s">
        <v>276</v>
      </c>
      <c r="B940" s="281"/>
      <c r="C940" s="162" t="s">
        <v>626</v>
      </c>
      <c r="D940" s="78" t="s">
        <v>368</v>
      </c>
      <c r="E940" s="243"/>
      <c r="F940" s="77"/>
      <c r="G940" s="247">
        <v>42.1</v>
      </c>
      <c r="H940" s="247">
        <v>47.1</v>
      </c>
      <c r="I940" s="77"/>
      <c r="J940" s="77" t="s">
        <v>382</v>
      </c>
      <c r="K940" s="93">
        <v>45291</v>
      </c>
      <c r="L940" s="77" t="s">
        <v>371</v>
      </c>
      <c r="M940" s="77" t="s">
        <v>20</v>
      </c>
      <c r="N940" s="94" t="s">
        <v>893</v>
      </c>
      <c r="O940" s="71"/>
      <c r="P940" s="71"/>
      <c r="Q940" s="71"/>
      <c r="R940" s="71"/>
      <c r="S940" s="71"/>
      <c r="T940" s="71"/>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c r="AS940" s="71"/>
      <c r="AT940" s="71"/>
    </row>
    <row r="941" spans="1:46" s="89" customFormat="1" ht="15.65" hidden="1" customHeight="1" x14ac:dyDescent="0.35">
      <c r="A941" s="268" t="s">
        <v>997</v>
      </c>
      <c r="B941" s="268"/>
      <c r="C941" s="158" t="s">
        <v>998</v>
      </c>
      <c r="D941" s="78" t="s">
        <v>368</v>
      </c>
      <c r="E941" s="243"/>
      <c r="F941" s="77"/>
      <c r="G941" s="115">
        <v>43</v>
      </c>
      <c r="H941" s="115">
        <v>48</v>
      </c>
      <c r="I941" s="77"/>
      <c r="J941" s="77" t="s">
        <v>979</v>
      </c>
      <c r="K941" s="93">
        <v>45291</v>
      </c>
      <c r="L941" s="77" t="s">
        <v>990</v>
      </c>
      <c r="M941" s="77" t="s">
        <v>20</v>
      </c>
      <c r="N941" s="94" t="s">
        <v>920</v>
      </c>
      <c r="O941" s="71"/>
      <c r="P941" s="71"/>
      <c r="Q941" s="71"/>
      <c r="R941" s="71"/>
      <c r="S941" s="71"/>
      <c r="T941" s="71"/>
      <c r="U941" s="71"/>
      <c r="V941" s="71"/>
      <c r="W941" s="71"/>
      <c r="X941" s="71"/>
      <c r="Y941" s="71"/>
      <c r="Z941" s="71"/>
      <c r="AA941" s="71"/>
      <c r="AB941" s="71"/>
      <c r="AC941" s="71"/>
      <c r="AD941" s="71"/>
      <c r="AE941" s="71"/>
      <c r="AF941" s="71"/>
      <c r="AG941" s="71"/>
      <c r="AH941" s="71"/>
      <c r="AI941" s="71"/>
      <c r="AJ941" s="71"/>
      <c r="AK941" s="71"/>
      <c r="AL941" s="71"/>
      <c r="AM941" s="71"/>
      <c r="AN941" s="71"/>
      <c r="AO941" s="71"/>
      <c r="AP941" s="71"/>
      <c r="AQ941" s="71"/>
      <c r="AR941" s="71"/>
      <c r="AS941" s="71"/>
      <c r="AT941" s="71"/>
    </row>
    <row r="942" spans="1:46" ht="15.65" hidden="1" customHeight="1" x14ac:dyDescent="0.25">
      <c r="A942" s="281" t="s">
        <v>60</v>
      </c>
      <c r="B942" s="281"/>
      <c r="C942" s="162" t="s">
        <v>61</v>
      </c>
      <c r="D942" s="78" t="s">
        <v>368</v>
      </c>
      <c r="E942" s="243"/>
      <c r="F942" s="77"/>
      <c r="G942" s="247">
        <v>73</v>
      </c>
      <c r="H942" s="247">
        <v>78</v>
      </c>
      <c r="I942" s="77"/>
      <c r="J942" s="77" t="s">
        <v>382</v>
      </c>
      <c r="K942" s="93">
        <v>45291</v>
      </c>
      <c r="L942" s="77" t="s">
        <v>371</v>
      </c>
      <c r="M942" s="77" t="s">
        <v>20</v>
      </c>
      <c r="N942" s="94" t="s">
        <v>893</v>
      </c>
    </row>
    <row r="943" spans="1:46" s="89" customFormat="1" ht="15.65" hidden="1" customHeight="1" x14ac:dyDescent="0.25">
      <c r="A943" s="281" t="s">
        <v>999</v>
      </c>
      <c r="B943" s="281"/>
      <c r="C943" s="162" t="s">
        <v>1000</v>
      </c>
      <c r="D943" s="78" t="s">
        <v>368</v>
      </c>
      <c r="E943" s="243"/>
      <c r="F943" s="77"/>
      <c r="G943" s="247">
        <v>298.7</v>
      </c>
      <c r="H943" s="247" t="s">
        <v>513</v>
      </c>
      <c r="I943" s="77"/>
      <c r="J943" s="77" t="s">
        <v>382</v>
      </c>
      <c r="K943" s="93">
        <v>45291</v>
      </c>
      <c r="L943" s="77" t="s">
        <v>371</v>
      </c>
      <c r="M943" s="77" t="s">
        <v>20</v>
      </c>
      <c r="N943" s="94" t="s">
        <v>893</v>
      </c>
      <c r="O943" s="71"/>
      <c r="P943" s="71"/>
      <c r="Q943" s="71"/>
      <c r="R943" s="71"/>
      <c r="S943" s="71"/>
      <c r="T943" s="71"/>
      <c r="U943" s="71"/>
      <c r="V943" s="71"/>
      <c r="W943" s="71"/>
      <c r="X943" s="71"/>
      <c r="Y943" s="71"/>
      <c r="Z943" s="71"/>
      <c r="AA943" s="71"/>
      <c r="AB943" s="71"/>
      <c r="AC943" s="71"/>
      <c r="AD943" s="71"/>
      <c r="AE943" s="71"/>
      <c r="AF943" s="71"/>
      <c r="AG943" s="71"/>
      <c r="AH943" s="71"/>
      <c r="AI943" s="71"/>
      <c r="AJ943" s="71"/>
      <c r="AK943" s="71"/>
      <c r="AL943" s="71"/>
      <c r="AM943" s="71"/>
      <c r="AN943" s="71"/>
      <c r="AO943" s="71"/>
      <c r="AP943" s="71"/>
      <c r="AQ943" s="71"/>
      <c r="AR943" s="71"/>
      <c r="AS943" s="71"/>
      <c r="AT943" s="71"/>
    </row>
    <row r="944" spans="1:46" s="89" customFormat="1" ht="15.65" hidden="1" customHeight="1" x14ac:dyDescent="0.25">
      <c r="A944" s="274" t="s">
        <v>999</v>
      </c>
      <c r="B944" s="274"/>
      <c r="C944" s="158" t="s">
        <v>1000</v>
      </c>
      <c r="D944" s="78" t="s">
        <v>368</v>
      </c>
      <c r="E944" s="243"/>
      <c r="F944" s="77"/>
      <c r="G944" s="115">
        <v>309.15449999999998</v>
      </c>
      <c r="H944" s="247">
        <v>314.15449999999998</v>
      </c>
      <c r="I944" s="77"/>
      <c r="J944" s="77" t="s">
        <v>370</v>
      </c>
      <c r="K944" s="93">
        <v>45291</v>
      </c>
      <c r="L944" s="77" t="s">
        <v>371</v>
      </c>
      <c r="M944" s="77" t="s">
        <v>372</v>
      </c>
      <c r="N944" s="94" t="s">
        <v>373</v>
      </c>
      <c r="O944" s="71"/>
      <c r="P944" s="71"/>
      <c r="Q944" s="71"/>
      <c r="R944" s="71"/>
      <c r="S944" s="71"/>
      <c r="T944" s="71"/>
      <c r="U944" s="71"/>
      <c r="V944" s="71"/>
      <c r="W944" s="71"/>
      <c r="X944" s="71"/>
      <c r="Y944" s="71"/>
      <c r="Z944" s="71"/>
      <c r="AA944" s="71"/>
      <c r="AB944" s="71"/>
      <c r="AC944" s="71"/>
      <c r="AD944" s="71"/>
      <c r="AE944" s="71"/>
      <c r="AF944" s="71"/>
      <c r="AG944" s="71"/>
      <c r="AH944" s="71"/>
      <c r="AI944" s="71"/>
      <c r="AJ944" s="71"/>
      <c r="AK944" s="71"/>
      <c r="AL944" s="71"/>
      <c r="AM944" s="71"/>
      <c r="AN944" s="71"/>
      <c r="AO944" s="71"/>
      <c r="AP944" s="71"/>
      <c r="AQ944" s="71"/>
      <c r="AR944" s="71"/>
      <c r="AS944" s="71"/>
      <c r="AT944" s="71"/>
    </row>
    <row r="945" spans="1:46" s="89" customFormat="1" ht="15.65" hidden="1" customHeight="1" x14ac:dyDescent="0.35">
      <c r="A945" s="268" t="s">
        <v>664</v>
      </c>
      <c r="B945" s="268"/>
      <c r="C945" s="158" t="s">
        <v>1001</v>
      </c>
      <c r="D945" s="78" t="s">
        <v>368</v>
      </c>
      <c r="E945" s="243"/>
      <c r="F945" s="77"/>
      <c r="G945" s="252">
        <v>31.33</v>
      </c>
      <c r="H945" s="252">
        <v>36.33</v>
      </c>
      <c r="I945" s="77"/>
      <c r="J945" s="77" t="s">
        <v>437</v>
      </c>
      <c r="K945" s="93">
        <v>45291</v>
      </c>
      <c r="L945" s="77" t="s">
        <v>965</v>
      </c>
      <c r="M945" s="77" t="s">
        <v>372</v>
      </c>
      <c r="N945" s="94" t="s">
        <v>940</v>
      </c>
      <c r="O945" s="71"/>
      <c r="P945" s="71"/>
      <c r="Q945" s="71"/>
      <c r="R945" s="71"/>
      <c r="S945" s="71"/>
      <c r="T945" s="71"/>
      <c r="U945" s="71"/>
      <c r="V945" s="71"/>
      <c r="W945" s="71"/>
      <c r="X945" s="71"/>
      <c r="Y945" s="71"/>
      <c r="Z945" s="71"/>
      <c r="AA945" s="71"/>
      <c r="AB945" s="71"/>
      <c r="AC945" s="71"/>
      <c r="AD945" s="71"/>
      <c r="AE945" s="71"/>
      <c r="AF945" s="71"/>
      <c r="AG945" s="71"/>
      <c r="AH945" s="71"/>
      <c r="AI945" s="71"/>
      <c r="AJ945" s="71"/>
      <c r="AK945" s="71"/>
      <c r="AL945" s="71"/>
      <c r="AM945" s="71"/>
      <c r="AN945" s="71"/>
      <c r="AO945" s="71"/>
      <c r="AP945" s="71"/>
      <c r="AQ945" s="71"/>
      <c r="AR945" s="71"/>
      <c r="AS945" s="71"/>
      <c r="AT945" s="71"/>
    </row>
    <row r="946" spans="1:46" s="89" customFormat="1" ht="15.65" hidden="1" customHeight="1" x14ac:dyDescent="0.25">
      <c r="A946" s="281" t="s">
        <v>664</v>
      </c>
      <c r="B946" s="281"/>
      <c r="C946" s="162" t="s">
        <v>665</v>
      </c>
      <c r="D946" s="78" t="s">
        <v>368</v>
      </c>
      <c r="E946" s="243"/>
      <c r="F946" s="77"/>
      <c r="G946" s="247">
        <v>38.700000000000003</v>
      </c>
      <c r="H946" s="247">
        <v>43.7</v>
      </c>
      <c r="I946" s="77"/>
      <c r="J946" s="77" t="s">
        <v>382</v>
      </c>
      <c r="K946" s="93">
        <v>45291</v>
      </c>
      <c r="L946" s="77" t="s">
        <v>371</v>
      </c>
      <c r="M946" s="77" t="s">
        <v>20</v>
      </c>
      <c r="N946" s="94" t="s">
        <v>893</v>
      </c>
      <c r="O946" s="71"/>
      <c r="P946" s="71"/>
      <c r="Q946" s="71"/>
      <c r="R946" s="71"/>
      <c r="S946" s="71"/>
      <c r="T946" s="71"/>
      <c r="U946" s="71"/>
      <c r="V946" s="71"/>
      <c r="W946" s="71"/>
      <c r="X946" s="71"/>
      <c r="Y946" s="71"/>
      <c r="Z946" s="71"/>
      <c r="AA946" s="71"/>
      <c r="AB946" s="71"/>
      <c r="AC946" s="71"/>
      <c r="AD946" s="71"/>
      <c r="AE946" s="71"/>
      <c r="AF946" s="71"/>
      <c r="AG946" s="71"/>
      <c r="AH946" s="71"/>
      <c r="AI946" s="71"/>
      <c r="AJ946" s="71"/>
      <c r="AK946" s="71"/>
      <c r="AL946" s="71"/>
      <c r="AM946" s="71"/>
      <c r="AN946" s="71"/>
      <c r="AO946" s="71"/>
      <c r="AP946" s="71"/>
      <c r="AQ946" s="71"/>
      <c r="AR946" s="71"/>
      <c r="AS946" s="71"/>
      <c r="AT946" s="71"/>
    </row>
    <row r="947" spans="1:46" s="89" customFormat="1" ht="15.65" hidden="1" customHeight="1" x14ac:dyDescent="0.35">
      <c r="A947" s="264" t="s">
        <v>286</v>
      </c>
      <c r="B947" s="264"/>
      <c r="C947" s="166" t="s">
        <v>666</v>
      </c>
      <c r="D947" s="78" t="s">
        <v>368</v>
      </c>
      <c r="E947" s="243"/>
      <c r="F947" s="77"/>
      <c r="G947" s="250">
        <v>42.7</v>
      </c>
      <c r="H947" s="250">
        <v>47.7</v>
      </c>
      <c r="I947" s="77"/>
      <c r="J947" s="77" t="s">
        <v>1002</v>
      </c>
      <c r="K947" s="166" t="s">
        <v>1003</v>
      </c>
      <c r="L947" s="77" t="s">
        <v>1004</v>
      </c>
      <c r="M947" s="77" t="s">
        <v>100</v>
      </c>
      <c r="N947" s="94" t="s">
        <v>1005</v>
      </c>
      <c r="O947" s="71"/>
      <c r="P947" s="71"/>
      <c r="Q947" s="71"/>
      <c r="R947" s="71"/>
      <c r="S947" s="71"/>
      <c r="T947" s="71"/>
      <c r="U947" s="71"/>
      <c r="V947" s="71"/>
      <c r="W947" s="71"/>
      <c r="X947" s="71"/>
      <c r="Y947" s="71"/>
      <c r="Z947" s="71"/>
      <c r="AA947" s="71"/>
      <c r="AB947" s="71"/>
      <c r="AC947" s="71"/>
      <c r="AD947" s="71"/>
      <c r="AE947" s="71"/>
      <c r="AF947" s="71"/>
      <c r="AG947" s="71"/>
      <c r="AH947" s="71"/>
      <c r="AI947" s="71"/>
      <c r="AJ947" s="71"/>
      <c r="AK947" s="71"/>
      <c r="AL947" s="71"/>
      <c r="AM947" s="71"/>
      <c r="AN947" s="71"/>
      <c r="AO947" s="71"/>
      <c r="AP947" s="71"/>
      <c r="AQ947" s="71"/>
      <c r="AR947" s="71"/>
      <c r="AS947" s="71"/>
      <c r="AT947" s="71"/>
    </row>
    <row r="948" spans="1:46" s="89" customFormat="1" ht="15.65" hidden="1" customHeight="1" x14ac:dyDescent="0.35">
      <c r="A948" s="264" t="s">
        <v>286</v>
      </c>
      <c r="B948" s="264"/>
      <c r="C948" s="242" t="s">
        <v>1006</v>
      </c>
      <c r="D948" s="78" t="s">
        <v>368</v>
      </c>
      <c r="E948" s="243"/>
      <c r="F948" s="77"/>
      <c r="G948" s="257" t="s">
        <v>1007</v>
      </c>
      <c r="H948" s="257" t="s">
        <v>1008</v>
      </c>
      <c r="I948" s="77"/>
      <c r="J948" s="77" t="s">
        <v>437</v>
      </c>
      <c r="K948" s="93" t="s">
        <v>902</v>
      </c>
      <c r="L948" s="77" t="s">
        <v>903</v>
      </c>
      <c r="M948" s="77" t="s">
        <v>372</v>
      </c>
      <c r="N948" s="77" t="s">
        <v>443</v>
      </c>
      <c r="O948" s="71"/>
      <c r="P948" s="71"/>
      <c r="Q948" s="71"/>
      <c r="R948" s="71"/>
      <c r="S948" s="71"/>
      <c r="T948" s="71"/>
      <c r="U948" s="71"/>
      <c r="V948" s="71"/>
      <c r="W948" s="71"/>
      <c r="X948" s="71"/>
      <c r="Y948" s="71"/>
      <c r="Z948" s="71"/>
      <c r="AA948" s="71"/>
      <c r="AB948" s="71"/>
      <c r="AC948" s="71"/>
      <c r="AD948" s="71"/>
      <c r="AE948" s="71"/>
      <c r="AF948" s="71"/>
      <c r="AG948" s="71"/>
      <c r="AH948" s="71"/>
      <c r="AI948" s="71"/>
      <c r="AJ948" s="71"/>
      <c r="AK948" s="71"/>
      <c r="AL948" s="71"/>
      <c r="AM948" s="71"/>
      <c r="AN948" s="71"/>
      <c r="AO948" s="71"/>
      <c r="AP948" s="71"/>
      <c r="AQ948" s="71"/>
      <c r="AR948" s="71"/>
      <c r="AS948" s="71"/>
      <c r="AT948" s="71"/>
    </row>
    <row r="949" spans="1:46" s="89" customFormat="1" ht="15.65" hidden="1" customHeight="1" x14ac:dyDescent="0.25">
      <c r="A949" s="281" t="s">
        <v>286</v>
      </c>
      <c r="B949" s="281"/>
      <c r="C949" s="162" t="s">
        <v>666</v>
      </c>
      <c r="D949" s="78" t="s">
        <v>368</v>
      </c>
      <c r="E949" s="243"/>
      <c r="F949" s="77"/>
      <c r="G949" s="247">
        <v>42.7</v>
      </c>
      <c r="H949" s="247">
        <v>47.7</v>
      </c>
      <c r="I949" s="77"/>
      <c r="J949" s="77" t="s">
        <v>382</v>
      </c>
      <c r="K949" s="93">
        <v>45291</v>
      </c>
      <c r="L949" s="77" t="s">
        <v>371</v>
      </c>
      <c r="M949" s="77" t="s">
        <v>20</v>
      </c>
      <c r="N949" s="94" t="s">
        <v>893</v>
      </c>
      <c r="O949" s="71"/>
      <c r="P949" s="71"/>
      <c r="Q949" s="71"/>
      <c r="R949" s="71"/>
      <c r="S949" s="71"/>
      <c r="T949" s="71"/>
      <c r="U949" s="71"/>
      <c r="V949" s="71"/>
      <c r="W949" s="71"/>
      <c r="X949" s="71"/>
      <c r="Y949" s="71"/>
      <c r="Z949" s="71"/>
      <c r="AA949" s="71"/>
      <c r="AB949" s="71"/>
      <c r="AC949" s="71"/>
      <c r="AD949" s="71"/>
      <c r="AE949" s="71"/>
      <c r="AF949" s="71"/>
      <c r="AG949" s="71"/>
      <c r="AH949" s="71"/>
      <c r="AI949" s="71"/>
      <c r="AJ949" s="71"/>
      <c r="AK949" s="71"/>
      <c r="AL949" s="71"/>
      <c r="AM949" s="71"/>
      <c r="AN949" s="71"/>
      <c r="AO949" s="71"/>
      <c r="AP949" s="71"/>
      <c r="AQ949" s="71"/>
      <c r="AR949" s="71"/>
      <c r="AS949" s="71"/>
      <c r="AT949" s="71"/>
    </row>
    <row r="950" spans="1:46" s="89" customFormat="1" ht="15.65" hidden="1" customHeight="1" x14ac:dyDescent="0.25">
      <c r="A950" s="280" t="s">
        <v>286</v>
      </c>
      <c r="B950" s="280"/>
      <c r="C950" s="158" t="s">
        <v>1006</v>
      </c>
      <c r="D950" s="78" t="s">
        <v>368</v>
      </c>
      <c r="E950" s="243"/>
      <c r="F950" s="77"/>
      <c r="G950" s="115">
        <v>34.43</v>
      </c>
      <c r="H950" s="247">
        <v>39.43</v>
      </c>
      <c r="I950" s="77"/>
      <c r="J950" s="77" t="s">
        <v>905</v>
      </c>
      <c r="K950" s="93">
        <v>45291</v>
      </c>
      <c r="L950" s="77" t="s">
        <v>371</v>
      </c>
      <c r="M950" s="77" t="s">
        <v>372</v>
      </c>
      <c r="N950" s="94" t="s">
        <v>373</v>
      </c>
      <c r="O950" s="71"/>
      <c r="P950" s="71"/>
      <c r="Q950" s="71"/>
      <c r="R950" s="71"/>
      <c r="S950" s="71"/>
      <c r="T950" s="71"/>
      <c r="U950" s="71"/>
      <c r="V950" s="71"/>
      <c r="W950" s="71"/>
      <c r="X950" s="71"/>
      <c r="Y950" s="71"/>
      <c r="Z950" s="71"/>
      <c r="AA950" s="71"/>
      <c r="AB950" s="71"/>
      <c r="AC950" s="71"/>
      <c r="AD950" s="71"/>
      <c r="AE950" s="71"/>
      <c r="AF950" s="71"/>
      <c r="AG950" s="71"/>
      <c r="AH950" s="71"/>
      <c r="AI950" s="71"/>
      <c r="AJ950" s="71"/>
      <c r="AK950" s="71"/>
      <c r="AL950" s="71"/>
      <c r="AM950" s="71"/>
      <c r="AN950" s="71"/>
      <c r="AO950" s="71"/>
      <c r="AP950" s="71"/>
      <c r="AQ950" s="71"/>
      <c r="AR950" s="71"/>
      <c r="AS950" s="71"/>
      <c r="AT950" s="71"/>
    </row>
    <row r="951" spans="1:46" s="292" customFormat="1" ht="15.65" hidden="1" customHeight="1" x14ac:dyDescent="0.25">
      <c r="A951" s="274" t="s">
        <v>286</v>
      </c>
      <c r="B951" s="274"/>
      <c r="C951" s="158" t="s">
        <v>1006</v>
      </c>
      <c r="D951" s="78" t="s">
        <v>368</v>
      </c>
      <c r="E951" s="243"/>
      <c r="F951" s="77"/>
      <c r="G951" s="115">
        <v>35.175000000000004</v>
      </c>
      <c r="H951" s="247">
        <v>40.175000000000004</v>
      </c>
      <c r="I951" s="77"/>
      <c r="J951" s="77" t="s">
        <v>923</v>
      </c>
      <c r="K951" s="93">
        <v>45291</v>
      </c>
      <c r="L951" s="77" t="s">
        <v>371</v>
      </c>
      <c r="M951" s="77" t="s">
        <v>372</v>
      </c>
      <c r="N951" s="94" t="s">
        <v>373</v>
      </c>
      <c r="O951" s="71"/>
      <c r="P951" s="71"/>
      <c r="Q951" s="71"/>
      <c r="R951" s="71"/>
      <c r="S951" s="71"/>
      <c r="T951" s="71"/>
      <c r="U951" s="71"/>
      <c r="V951" s="71"/>
      <c r="W951" s="71"/>
      <c r="X951" s="71"/>
      <c r="Y951" s="71"/>
      <c r="Z951" s="71"/>
      <c r="AA951" s="71"/>
      <c r="AB951" s="71"/>
      <c r="AC951" s="71"/>
      <c r="AD951" s="71"/>
      <c r="AE951" s="71"/>
      <c r="AF951" s="71"/>
      <c r="AG951" s="71"/>
      <c r="AH951" s="71"/>
      <c r="AI951" s="71"/>
      <c r="AJ951" s="71"/>
      <c r="AK951" s="71"/>
      <c r="AL951" s="71"/>
      <c r="AM951" s="71"/>
      <c r="AN951" s="71"/>
      <c r="AO951" s="71"/>
      <c r="AP951" s="71"/>
      <c r="AQ951" s="71"/>
      <c r="AR951" s="71"/>
      <c r="AS951" s="71"/>
      <c r="AT951" s="71"/>
    </row>
    <row r="952" spans="1:46" s="89" customFormat="1" ht="15.65" hidden="1" customHeight="1" x14ac:dyDescent="0.25">
      <c r="A952" s="281" t="s">
        <v>667</v>
      </c>
      <c r="B952" s="281"/>
      <c r="C952" s="162" t="s">
        <v>1009</v>
      </c>
      <c r="D952" s="78" t="s">
        <v>368</v>
      </c>
      <c r="E952" s="243"/>
      <c r="F952" s="77"/>
      <c r="G952" s="247">
        <v>38</v>
      </c>
      <c r="H952" s="247">
        <v>43</v>
      </c>
      <c r="I952" s="77"/>
      <c r="J952" s="77" t="s">
        <v>382</v>
      </c>
      <c r="K952" s="93">
        <v>45291</v>
      </c>
      <c r="L952" s="77" t="s">
        <v>371</v>
      </c>
      <c r="M952" s="77" t="s">
        <v>20</v>
      </c>
      <c r="N952" s="94" t="s">
        <v>893</v>
      </c>
      <c r="O952" s="71"/>
      <c r="P952" s="71"/>
      <c r="Q952" s="71"/>
      <c r="R952" s="71"/>
      <c r="S952" s="71"/>
      <c r="T952" s="71"/>
      <c r="U952" s="71"/>
      <c r="V952" s="71"/>
      <c r="W952" s="71"/>
      <c r="X952" s="71"/>
      <c r="Y952" s="71"/>
      <c r="Z952" s="71"/>
      <c r="AA952" s="71"/>
      <c r="AB952" s="71"/>
      <c r="AC952" s="71"/>
      <c r="AD952" s="71"/>
      <c r="AE952" s="71"/>
      <c r="AF952" s="71"/>
      <c r="AG952" s="71"/>
      <c r="AH952" s="71"/>
      <c r="AI952" s="71"/>
      <c r="AJ952" s="71"/>
      <c r="AK952" s="71"/>
      <c r="AL952" s="71"/>
      <c r="AM952" s="71"/>
      <c r="AN952" s="71"/>
      <c r="AO952" s="71"/>
      <c r="AP952" s="71"/>
      <c r="AQ952" s="71"/>
      <c r="AR952" s="71"/>
      <c r="AS952" s="71"/>
      <c r="AT952" s="71"/>
    </row>
    <row r="953" spans="1:46" ht="15.65" hidden="1" customHeight="1" x14ac:dyDescent="0.25">
      <c r="A953" s="281" t="s">
        <v>670</v>
      </c>
      <c r="B953" s="281"/>
      <c r="C953" s="162" t="s">
        <v>1010</v>
      </c>
      <c r="D953" s="78" t="s">
        <v>368</v>
      </c>
      <c r="E953" s="243"/>
      <c r="F953" s="77"/>
      <c r="G953" s="247">
        <v>34.200000000000003</v>
      </c>
      <c r="H953" s="247">
        <v>39.200000000000003</v>
      </c>
      <c r="I953" s="77"/>
      <c r="J953" s="77" t="s">
        <v>382</v>
      </c>
      <c r="K953" s="93">
        <v>45291</v>
      </c>
      <c r="L953" s="77" t="s">
        <v>371</v>
      </c>
      <c r="M953" s="77" t="s">
        <v>20</v>
      </c>
      <c r="N953" s="94" t="s">
        <v>893</v>
      </c>
    </row>
    <row r="954" spans="1:46" ht="15.65" hidden="1" customHeight="1" x14ac:dyDescent="0.25">
      <c r="A954" s="274" t="s">
        <v>676</v>
      </c>
      <c r="B954" s="274"/>
      <c r="C954" s="158" t="s">
        <v>677</v>
      </c>
      <c r="D954" s="78" t="s">
        <v>368</v>
      </c>
      <c r="E954" s="243"/>
      <c r="F954" s="77"/>
      <c r="G954" s="115">
        <v>45.747</v>
      </c>
      <c r="H954" s="247">
        <v>50.747</v>
      </c>
      <c r="I954" s="77"/>
      <c r="J954" s="77" t="s">
        <v>921</v>
      </c>
      <c r="K954" s="93">
        <v>45291</v>
      </c>
      <c r="L954" s="77" t="s">
        <v>371</v>
      </c>
      <c r="M954" s="77" t="s">
        <v>20</v>
      </c>
      <c r="N954" s="94" t="s">
        <v>373</v>
      </c>
    </row>
    <row r="955" spans="1:46" ht="15.65" hidden="1" customHeight="1" x14ac:dyDescent="0.35">
      <c r="A955" s="268" t="s">
        <v>682</v>
      </c>
      <c r="B955" s="268"/>
      <c r="C955" s="158" t="s">
        <v>1011</v>
      </c>
      <c r="D955" s="78" t="s">
        <v>368</v>
      </c>
      <c r="E955" s="243"/>
      <c r="F955" s="77"/>
      <c r="G955" s="252">
        <v>56.7</v>
      </c>
      <c r="H955" s="252">
        <v>61.7</v>
      </c>
      <c r="I955" s="77"/>
      <c r="J955" s="77" t="s">
        <v>437</v>
      </c>
      <c r="K955" s="93">
        <v>45291</v>
      </c>
      <c r="L955" s="77" t="s">
        <v>965</v>
      </c>
      <c r="M955" s="77" t="s">
        <v>372</v>
      </c>
      <c r="N955" s="94" t="s">
        <v>940</v>
      </c>
    </row>
    <row r="956" spans="1:46" s="89" customFormat="1" ht="15.65" hidden="1" customHeight="1" x14ac:dyDescent="0.25">
      <c r="A956" s="281" t="s">
        <v>682</v>
      </c>
      <c r="B956" s="281"/>
      <c r="C956" s="162" t="s">
        <v>683</v>
      </c>
      <c r="D956" s="78" t="s">
        <v>368</v>
      </c>
      <c r="E956" s="243"/>
      <c r="F956" s="77"/>
      <c r="G956" s="247">
        <v>77</v>
      </c>
      <c r="H956" s="247">
        <v>82</v>
      </c>
      <c r="I956" s="77"/>
      <c r="J956" s="77" t="s">
        <v>382</v>
      </c>
      <c r="K956" s="93">
        <v>45291</v>
      </c>
      <c r="L956" s="77" t="s">
        <v>371</v>
      </c>
      <c r="M956" s="77" t="s">
        <v>20</v>
      </c>
      <c r="N956" s="94" t="s">
        <v>893</v>
      </c>
      <c r="O956" s="71"/>
      <c r="P956" s="71"/>
      <c r="Q956" s="71"/>
      <c r="R956" s="71"/>
      <c r="S956" s="71"/>
      <c r="T956" s="71"/>
      <c r="U956" s="71"/>
      <c r="V956" s="71"/>
      <c r="W956" s="71"/>
      <c r="X956" s="71"/>
      <c r="Y956" s="71"/>
      <c r="Z956" s="71"/>
      <c r="AA956" s="71"/>
      <c r="AB956" s="71"/>
      <c r="AC956" s="71"/>
      <c r="AD956" s="71"/>
      <c r="AE956" s="71"/>
      <c r="AF956" s="71"/>
      <c r="AG956" s="71"/>
      <c r="AH956" s="71"/>
      <c r="AI956" s="71"/>
      <c r="AJ956" s="71"/>
      <c r="AK956" s="71"/>
      <c r="AL956" s="71"/>
      <c r="AM956" s="71"/>
      <c r="AN956" s="71"/>
      <c r="AO956" s="71"/>
      <c r="AP956" s="71"/>
      <c r="AQ956" s="71"/>
      <c r="AR956" s="71"/>
      <c r="AS956" s="71"/>
      <c r="AT956" s="71"/>
    </row>
    <row r="957" spans="1:46" s="89" customFormat="1" ht="15.65" hidden="1" customHeight="1" x14ac:dyDescent="0.25">
      <c r="A957" s="268" t="s">
        <v>1012</v>
      </c>
      <c r="B957" s="268"/>
      <c r="C957" s="158" t="s">
        <v>1013</v>
      </c>
      <c r="D957" s="78" t="s">
        <v>368</v>
      </c>
      <c r="E957" s="243"/>
      <c r="F957" s="77"/>
      <c r="G957" s="115">
        <v>34.950000000000003</v>
      </c>
      <c r="H957" s="247">
        <v>39.950000000000003</v>
      </c>
      <c r="I957" s="77"/>
      <c r="J957" s="77" t="s">
        <v>947</v>
      </c>
      <c r="K957" s="93">
        <v>45291</v>
      </c>
      <c r="L957" s="77" t="s">
        <v>1014</v>
      </c>
      <c r="M957" s="77" t="s">
        <v>20</v>
      </c>
      <c r="N957" s="94"/>
      <c r="O957" s="71"/>
      <c r="P957" s="71"/>
      <c r="Q957" s="71"/>
      <c r="R957" s="71"/>
      <c r="S957" s="71"/>
      <c r="T957" s="71"/>
      <c r="U957" s="71"/>
      <c r="V957" s="71"/>
      <c r="W957" s="71"/>
      <c r="X957" s="71"/>
      <c r="Y957" s="71"/>
      <c r="Z957" s="71"/>
      <c r="AA957" s="71"/>
      <c r="AB957" s="71"/>
      <c r="AC957" s="71"/>
      <c r="AD957" s="71"/>
      <c r="AE957" s="71"/>
      <c r="AF957" s="71"/>
      <c r="AG957" s="71"/>
      <c r="AH957" s="71"/>
      <c r="AI957" s="71"/>
      <c r="AJ957" s="71"/>
      <c r="AK957" s="71"/>
      <c r="AL957" s="71"/>
      <c r="AM957" s="71"/>
      <c r="AN957" s="71"/>
      <c r="AO957" s="71"/>
      <c r="AP957" s="71"/>
      <c r="AQ957" s="71"/>
      <c r="AR957" s="71"/>
      <c r="AS957" s="71"/>
      <c r="AT957" s="71"/>
    </row>
    <row r="958" spans="1:46" s="89" customFormat="1" ht="15.65" hidden="1" customHeight="1" x14ac:dyDescent="0.25">
      <c r="A958" s="281" t="s">
        <v>1015</v>
      </c>
      <c r="B958" s="281"/>
      <c r="C958" s="162" t="s">
        <v>1016</v>
      </c>
      <c r="D958" s="78" t="s">
        <v>368</v>
      </c>
      <c r="E958" s="243"/>
      <c r="F958" s="77"/>
      <c r="G958" s="247">
        <v>93.5</v>
      </c>
      <c r="H958" s="247">
        <v>98.5</v>
      </c>
      <c r="I958" s="77"/>
      <c r="J958" s="77" t="s">
        <v>382</v>
      </c>
      <c r="K958" s="93">
        <v>45291</v>
      </c>
      <c r="L958" s="77" t="s">
        <v>371</v>
      </c>
      <c r="M958" s="77" t="s">
        <v>20</v>
      </c>
      <c r="N958" s="94" t="s">
        <v>893</v>
      </c>
      <c r="O958" s="71"/>
      <c r="P958" s="71"/>
      <c r="Q958" s="71"/>
      <c r="R958" s="71"/>
      <c r="S958" s="71"/>
      <c r="T958" s="71"/>
      <c r="U958" s="71"/>
      <c r="V958" s="71"/>
      <c r="W958" s="71"/>
      <c r="X958" s="71"/>
      <c r="Y958" s="71"/>
      <c r="Z958" s="71"/>
      <c r="AA958" s="71"/>
      <c r="AB958" s="71"/>
      <c r="AC958" s="71"/>
      <c r="AD958" s="71"/>
      <c r="AE958" s="71"/>
      <c r="AF958" s="71"/>
      <c r="AG958" s="71"/>
      <c r="AH958" s="71"/>
      <c r="AI958" s="71"/>
      <c r="AJ958" s="71"/>
      <c r="AK958" s="71"/>
      <c r="AL958" s="71"/>
      <c r="AM958" s="71"/>
      <c r="AN958" s="71"/>
      <c r="AO958" s="71"/>
      <c r="AP958" s="71"/>
      <c r="AQ958" s="71"/>
      <c r="AR958" s="71"/>
      <c r="AS958" s="71"/>
      <c r="AT958" s="71"/>
    </row>
    <row r="959" spans="1:46" ht="15.65" hidden="1" customHeight="1" x14ac:dyDescent="0.25">
      <c r="A959" s="281" t="s">
        <v>1017</v>
      </c>
      <c r="B959" s="281"/>
      <c r="C959" s="162" t="s">
        <v>1018</v>
      </c>
      <c r="D959" s="78" t="s">
        <v>368</v>
      </c>
      <c r="E959" s="243"/>
      <c r="F959" s="77"/>
      <c r="G959" s="247">
        <v>146.4</v>
      </c>
      <c r="H959" s="247">
        <v>151.4</v>
      </c>
      <c r="I959" s="77"/>
      <c r="J959" s="77" t="s">
        <v>382</v>
      </c>
      <c r="K959" s="93">
        <v>45291</v>
      </c>
      <c r="L959" s="77" t="s">
        <v>371</v>
      </c>
      <c r="M959" s="77" t="s">
        <v>20</v>
      </c>
      <c r="N959" s="94" t="s">
        <v>893</v>
      </c>
    </row>
    <row r="960" spans="1:46" ht="15.65" hidden="1" customHeight="1" x14ac:dyDescent="0.25">
      <c r="A960" s="281" t="s">
        <v>702</v>
      </c>
      <c r="B960" s="281"/>
      <c r="C960" s="162" t="s">
        <v>703</v>
      </c>
      <c r="D960" s="78" t="s">
        <v>368</v>
      </c>
      <c r="E960" s="243"/>
      <c r="F960" s="77"/>
      <c r="G960" s="247">
        <v>202.35</v>
      </c>
      <c r="H960" s="247">
        <v>207.35</v>
      </c>
      <c r="I960" s="77"/>
      <c r="J960" s="77" t="s">
        <v>382</v>
      </c>
      <c r="K960" s="93">
        <v>45291</v>
      </c>
      <c r="L960" s="77" t="s">
        <v>371</v>
      </c>
      <c r="M960" s="77" t="s">
        <v>20</v>
      </c>
      <c r="N960" s="94" t="s">
        <v>893</v>
      </c>
    </row>
    <row r="961" spans="1:46" ht="15.65" hidden="1" customHeight="1" x14ac:dyDescent="0.25">
      <c r="A961" s="281" t="s">
        <v>705</v>
      </c>
      <c r="B961" s="281"/>
      <c r="C961" s="162" t="s">
        <v>706</v>
      </c>
      <c r="D961" s="78" t="s">
        <v>368</v>
      </c>
      <c r="E961" s="243"/>
      <c r="F961" s="77"/>
      <c r="G961" s="247">
        <v>255.46</v>
      </c>
      <c r="H961" s="247">
        <v>260.46000000000004</v>
      </c>
      <c r="I961" s="77"/>
      <c r="J961" s="77" t="s">
        <v>382</v>
      </c>
      <c r="K961" s="93">
        <v>45291</v>
      </c>
      <c r="L961" s="77" t="s">
        <v>371</v>
      </c>
      <c r="M961" s="77" t="s">
        <v>20</v>
      </c>
      <c r="N961" s="94" t="s">
        <v>893</v>
      </c>
    </row>
    <row r="962" spans="1:46" ht="15.65" hidden="1" customHeight="1" x14ac:dyDescent="0.25">
      <c r="A962" s="281" t="s">
        <v>318</v>
      </c>
      <c r="B962" s="281"/>
      <c r="C962" s="162" t="s">
        <v>707</v>
      </c>
      <c r="D962" s="78" t="s">
        <v>368</v>
      </c>
      <c r="E962" s="243"/>
      <c r="F962" s="77"/>
      <c r="G962" s="247">
        <v>143.65</v>
      </c>
      <c r="H962" s="247">
        <v>148.65</v>
      </c>
      <c r="I962" s="77"/>
      <c r="J962" s="77" t="s">
        <v>382</v>
      </c>
      <c r="K962" s="93">
        <v>45291</v>
      </c>
      <c r="L962" s="77" t="s">
        <v>371</v>
      </c>
      <c r="M962" s="77" t="s">
        <v>20</v>
      </c>
      <c r="N962" s="94" t="s">
        <v>893</v>
      </c>
    </row>
    <row r="963" spans="1:46" ht="15.65" hidden="1" customHeight="1" x14ac:dyDescent="0.25">
      <c r="A963" s="281" t="s">
        <v>322</v>
      </c>
      <c r="B963" s="281"/>
      <c r="C963" s="162" t="s">
        <v>1019</v>
      </c>
      <c r="D963" s="78" t="s">
        <v>368</v>
      </c>
      <c r="E963" s="243"/>
      <c r="F963" s="77"/>
      <c r="G963" s="247">
        <v>23</v>
      </c>
      <c r="H963" s="247">
        <v>28</v>
      </c>
      <c r="I963" s="77"/>
      <c r="J963" s="77" t="s">
        <v>382</v>
      </c>
      <c r="K963" s="93">
        <v>45291</v>
      </c>
      <c r="L963" s="77" t="s">
        <v>371</v>
      </c>
      <c r="M963" s="77" t="s">
        <v>20</v>
      </c>
      <c r="N963" s="94" t="s">
        <v>893</v>
      </c>
    </row>
    <row r="964" spans="1:46" s="89" customFormat="1" ht="15.65" hidden="1" customHeight="1" x14ac:dyDescent="0.25">
      <c r="A964" s="281" t="s">
        <v>710</v>
      </c>
      <c r="B964" s="281"/>
      <c r="C964" s="162" t="s">
        <v>711</v>
      </c>
      <c r="D964" s="78" t="s">
        <v>368</v>
      </c>
      <c r="E964" s="243"/>
      <c r="F964" s="77"/>
      <c r="G964" s="247">
        <v>75.05</v>
      </c>
      <c r="H964" s="247">
        <v>80.05</v>
      </c>
      <c r="I964" s="77"/>
      <c r="J964" s="77" t="s">
        <v>382</v>
      </c>
      <c r="K964" s="93">
        <v>45291</v>
      </c>
      <c r="L964" s="77" t="s">
        <v>371</v>
      </c>
      <c r="M964" s="77" t="s">
        <v>20</v>
      </c>
      <c r="N964" s="94" t="s">
        <v>893</v>
      </c>
      <c r="O964" s="71"/>
      <c r="P964" s="71"/>
      <c r="Q964" s="71"/>
      <c r="R964" s="71"/>
      <c r="S964" s="71"/>
      <c r="T964" s="71"/>
      <c r="U964" s="71"/>
      <c r="V964" s="71"/>
      <c r="W964" s="71"/>
      <c r="X964" s="71"/>
      <c r="Y964" s="71"/>
      <c r="Z964" s="71"/>
      <c r="AA964" s="71"/>
      <c r="AB964" s="71"/>
      <c r="AC964" s="71"/>
      <c r="AD964" s="71"/>
      <c r="AE964" s="71"/>
      <c r="AF964" s="71"/>
      <c r="AG964" s="71"/>
      <c r="AH964" s="71"/>
      <c r="AI964" s="71"/>
      <c r="AJ964" s="71"/>
      <c r="AK964" s="71"/>
      <c r="AL964" s="71"/>
      <c r="AM964" s="71"/>
      <c r="AN964" s="71"/>
      <c r="AO964" s="71"/>
      <c r="AP964" s="71"/>
      <c r="AQ964" s="71"/>
      <c r="AR964" s="71"/>
      <c r="AS964" s="71"/>
      <c r="AT964" s="71"/>
    </row>
    <row r="965" spans="1:46" s="89" customFormat="1" ht="15.65" hidden="1" customHeight="1" x14ac:dyDescent="0.25">
      <c r="A965" s="274" t="s">
        <v>710</v>
      </c>
      <c r="B965" s="274"/>
      <c r="C965" s="158" t="s">
        <v>711</v>
      </c>
      <c r="D965" s="78" t="s">
        <v>368</v>
      </c>
      <c r="E965" s="243"/>
      <c r="F965" s="77"/>
      <c r="G965" s="115">
        <v>62.306999999999995</v>
      </c>
      <c r="H965" s="247">
        <v>67.306999999999988</v>
      </c>
      <c r="I965" s="77"/>
      <c r="J965" s="77" t="s">
        <v>370</v>
      </c>
      <c r="K965" s="93">
        <v>45291</v>
      </c>
      <c r="L965" s="77" t="s">
        <v>371</v>
      </c>
      <c r="M965" s="77" t="s">
        <v>372</v>
      </c>
      <c r="N965" s="94" t="s">
        <v>373</v>
      </c>
      <c r="O965" s="71"/>
      <c r="P965" s="71"/>
      <c r="Q965" s="71"/>
      <c r="R965" s="71"/>
      <c r="S965" s="71"/>
      <c r="T965" s="71"/>
      <c r="U965" s="71"/>
      <c r="V965" s="71"/>
      <c r="W965" s="71"/>
      <c r="X965" s="71"/>
      <c r="Y965" s="71"/>
      <c r="Z965" s="71"/>
      <c r="AA965" s="71"/>
      <c r="AB965" s="71"/>
      <c r="AC965" s="71"/>
      <c r="AD965" s="71"/>
      <c r="AE965" s="71"/>
      <c r="AF965" s="71"/>
      <c r="AG965" s="71"/>
      <c r="AH965" s="71"/>
      <c r="AI965" s="71"/>
      <c r="AJ965" s="71"/>
      <c r="AK965" s="71"/>
      <c r="AL965" s="71"/>
      <c r="AM965" s="71"/>
      <c r="AN965" s="71"/>
      <c r="AO965" s="71"/>
      <c r="AP965" s="71"/>
      <c r="AQ965" s="71"/>
      <c r="AR965" s="71"/>
      <c r="AS965" s="71"/>
      <c r="AT965" s="71"/>
    </row>
    <row r="966" spans="1:46" s="89" customFormat="1" ht="15.65" hidden="1" customHeight="1" x14ac:dyDescent="0.25">
      <c r="A966" s="281" t="s">
        <v>712</v>
      </c>
      <c r="B966" s="281"/>
      <c r="C966" s="162" t="s">
        <v>1020</v>
      </c>
      <c r="D966" s="78" t="s">
        <v>368</v>
      </c>
      <c r="E966" s="243"/>
      <c r="F966" s="77"/>
      <c r="G966" s="247">
        <v>38.299999999999997</v>
      </c>
      <c r="H966" s="247">
        <v>43.3</v>
      </c>
      <c r="I966" s="77"/>
      <c r="J966" s="77" t="s">
        <v>382</v>
      </c>
      <c r="K966" s="93">
        <v>45291</v>
      </c>
      <c r="L966" s="77" t="s">
        <v>371</v>
      </c>
      <c r="M966" s="77" t="s">
        <v>20</v>
      </c>
      <c r="N966" s="94" t="s">
        <v>893</v>
      </c>
      <c r="O966" s="71"/>
      <c r="P966" s="71"/>
      <c r="Q966" s="71"/>
      <c r="R966" s="71"/>
      <c r="S966" s="71"/>
      <c r="T966" s="71"/>
      <c r="U966" s="71"/>
      <c r="V966" s="71"/>
      <c r="W966" s="71"/>
      <c r="X966" s="71"/>
      <c r="Y966" s="71"/>
      <c r="Z966" s="71"/>
      <c r="AA966" s="71"/>
      <c r="AB966" s="71"/>
      <c r="AC966" s="71"/>
      <c r="AD966" s="71"/>
      <c r="AE966" s="71"/>
      <c r="AF966" s="71"/>
      <c r="AG966" s="71"/>
      <c r="AH966" s="71"/>
      <c r="AI966" s="71"/>
      <c r="AJ966" s="71"/>
      <c r="AK966" s="71"/>
      <c r="AL966" s="71"/>
      <c r="AM966" s="71"/>
      <c r="AN966" s="71"/>
      <c r="AO966" s="71"/>
      <c r="AP966" s="71"/>
      <c r="AQ966" s="71"/>
      <c r="AR966" s="71"/>
      <c r="AS966" s="71"/>
      <c r="AT966" s="71"/>
    </row>
    <row r="967" spans="1:46" s="89" customFormat="1" ht="15.65" hidden="1" customHeight="1" x14ac:dyDescent="0.25">
      <c r="A967" s="281" t="s">
        <v>329</v>
      </c>
      <c r="B967" s="281"/>
      <c r="C967" s="162" t="s">
        <v>719</v>
      </c>
      <c r="D967" s="78" t="s">
        <v>368</v>
      </c>
      <c r="E967" s="243"/>
      <c r="F967" s="77"/>
      <c r="G967" s="247">
        <v>38.75</v>
      </c>
      <c r="H967" s="247">
        <v>43.75</v>
      </c>
      <c r="I967" s="77"/>
      <c r="J967" s="77" t="s">
        <v>382</v>
      </c>
      <c r="K967" s="93">
        <v>45291</v>
      </c>
      <c r="L967" s="77" t="s">
        <v>371</v>
      </c>
      <c r="M967" s="77" t="s">
        <v>20</v>
      </c>
      <c r="N967" s="94" t="s">
        <v>893</v>
      </c>
      <c r="O967" s="71"/>
      <c r="P967" s="71"/>
      <c r="Q967" s="71"/>
      <c r="R967" s="71"/>
      <c r="S967" s="71"/>
      <c r="T967" s="71"/>
      <c r="U967" s="71"/>
      <c r="V967" s="71"/>
      <c r="W967" s="71"/>
      <c r="X967" s="71"/>
      <c r="Y967" s="71"/>
      <c r="Z967" s="71"/>
      <c r="AA967" s="71"/>
      <c r="AB967" s="71"/>
      <c r="AC967" s="71"/>
      <c r="AD967" s="71"/>
      <c r="AE967" s="71"/>
      <c r="AF967" s="71"/>
      <c r="AG967" s="71"/>
      <c r="AH967" s="71"/>
      <c r="AI967" s="71"/>
      <c r="AJ967" s="71"/>
      <c r="AK967" s="71"/>
      <c r="AL967" s="71"/>
      <c r="AM967" s="71"/>
      <c r="AN967" s="71"/>
      <c r="AO967" s="71"/>
      <c r="AP967" s="71"/>
      <c r="AQ967" s="71"/>
      <c r="AR967" s="71"/>
      <c r="AS967" s="71"/>
      <c r="AT967" s="71"/>
    </row>
    <row r="968" spans="1:46" ht="15.65" hidden="1" customHeight="1" x14ac:dyDescent="0.25">
      <c r="A968" s="281" t="s">
        <v>721</v>
      </c>
      <c r="B968" s="281"/>
      <c r="C968" s="162" t="s">
        <v>717</v>
      </c>
      <c r="D968" s="78" t="s">
        <v>368</v>
      </c>
      <c r="E968" s="243"/>
      <c r="F968" s="77"/>
      <c r="G968" s="247">
        <v>64.150000000000006</v>
      </c>
      <c r="H968" s="247">
        <v>69.150000000000006</v>
      </c>
      <c r="I968" s="77"/>
      <c r="J968" s="77" t="s">
        <v>382</v>
      </c>
      <c r="K968" s="93">
        <v>45291</v>
      </c>
      <c r="L968" s="77" t="s">
        <v>371</v>
      </c>
      <c r="M968" s="77" t="s">
        <v>20</v>
      </c>
      <c r="N968" s="94" t="s">
        <v>893</v>
      </c>
    </row>
    <row r="969" spans="1:46" ht="15.65" hidden="1" customHeight="1" x14ac:dyDescent="0.35">
      <c r="A969" s="268" t="s">
        <v>731</v>
      </c>
      <c r="B969" s="268"/>
      <c r="C969" s="77" t="s">
        <v>732</v>
      </c>
      <c r="D969" s="78" t="s">
        <v>368</v>
      </c>
      <c r="E969" s="243"/>
      <c r="F969" s="77"/>
      <c r="G969" s="115">
        <v>122</v>
      </c>
      <c r="H969" s="92">
        <v>127</v>
      </c>
      <c r="I969" s="77"/>
      <c r="J969" s="77" t="s">
        <v>382</v>
      </c>
      <c r="K969" s="93">
        <v>45291</v>
      </c>
      <c r="L969" s="114" t="s">
        <v>1021</v>
      </c>
      <c r="M969" s="77" t="s">
        <v>100</v>
      </c>
      <c r="N969" s="94" t="s">
        <v>443</v>
      </c>
    </row>
    <row r="970" spans="1:46" ht="15.65" hidden="1" customHeight="1" x14ac:dyDescent="0.25">
      <c r="A970" s="281" t="s">
        <v>734</v>
      </c>
      <c r="B970" s="281"/>
      <c r="C970" s="162" t="s">
        <v>1022</v>
      </c>
      <c r="D970" s="78" t="s">
        <v>368</v>
      </c>
      <c r="E970" s="243"/>
      <c r="F970" s="77"/>
      <c r="G970" s="247">
        <v>361.25</v>
      </c>
      <c r="H970" s="247">
        <v>366.25</v>
      </c>
      <c r="I970" s="77"/>
      <c r="J970" s="77" t="s">
        <v>382</v>
      </c>
      <c r="K970" s="93">
        <v>45291</v>
      </c>
      <c r="L970" s="77" t="s">
        <v>371</v>
      </c>
      <c r="M970" s="77" t="s">
        <v>20</v>
      </c>
      <c r="N970" s="94" t="s">
        <v>893</v>
      </c>
    </row>
    <row r="971" spans="1:46" ht="15.65" hidden="1" customHeight="1" x14ac:dyDescent="0.35">
      <c r="A971" s="455" t="s">
        <v>734</v>
      </c>
      <c r="B971" s="455"/>
      <c r="C971" s="253" t="s">
        <v>1022</v>
      </c>
      <c r="D971" s="78" t="s">
        <v>368</v>
      </c>
      <c r="E971" s="243"/>
      <c r="F971" s="255"/>
      <c r="G971" s="256">
        <v>173.95</v>
      </c>
      <c r="H971" s="256">
        <f>G971+2.75</f>
        <v>176.7</v>
      </c>
      <c r="I971" s="255"/>
      <c r="J971" s="77" t="s">
        <v>477</v>
      </c>
      <c r="K971" s="93">
        <v>45107</v>
      </c>
      <c r="L971" s="114" t="s">
        <v>1023</v>
      </c>
      <c r="M971" s="77" t="s">
        <v>372</v>
      </c>
      <c r="N971" s="77" t="s">
        <v>443</v>
      </c>
    </row>
    <row r="972" spans="1:46" ht="15.65" hidden="1" customHeight="1" x14ac:dyDescent="0.25">
      <c r="A972" s="281" t="s">
        <v>751</v>
      </c>
      <c r="B972" s="281"/>
      <c r="C972" s="162" t="s">
        <v>752</v>
      </c>
      <c r="D972" s="78" t="s">
        <v>368</v>
      </c>
      <c r="E972" s="243"/>
      <c r="F972" s="77"/>
      <c r="G972" s="247">
        <v>75.650000000000006</v>
      </c>
      <c r="H972" s="247">
        <v>80.650000000000006</v>
      </c>
      <c r="I972" s="77"/>
      <c r="J972" s="77" t="s">
        <v>382</v>
      </c>
      <c r="K972" s="93">
        <v>45291</v>
      </c>
      <c r="L972" s="77" t="s">
        <v>371</v>
      </c>
      <c r="M972" s="77" t="s">
        <v>20</v>
      </c>
      <c r="N972" s="94" t="s">
        <v>893</v>
      </c>
    </row>
    <row r="973" spans="1:46" ht="15.65" hidden="1" customHeight="1" x14ac:dyDescent="0.25">
      <c r="A973" s="281" t="s">
        <v>342</v>
      </c>
      <c r="B973" s="281"/>
      <c r="C973" s="162" t="s">
        <v>753</v>
      </c>
      <c r="D973" s="78" t="s">
        <v>368</v>
      </c>
      <c r="E973" s="243"/>
      <c r="F973" s="77"/>
      <c r="G973" s="247">
        <v>48.5</v>
      </c>
      <c r="H973" s="247">
        <v>53.5</v>
      </c>
      <c r="I973" s="77"/>
      <c r="J973" s="77" t="s">
        <v>382</v>
      </c>
      <c r="K973" s="93">
        <v>45291</v>
      </c>
      <c r="L973" s="77" t="s">
        <v>371</v>
      </c>
      <c r="M973" s="77" t="s">
        <v>20</v>
      </c>
      <c r="N973" s="94" t="s">
        <v>893</v>
      </c>
    </row>
    <row r="974" spans="1:46" s="89" customFormat="1" ht="15.65" hidden="1" customHeight="1" x14ac:dyDescent="0.25">
      <c r="A974" s="280" t="s">
        <v>342</v>
      </c>
      <c r="B974" s="280"/>
      <c r="C974" s="158" t="s">
        <v>753</v>
      </c>
      <c r="D974" s="78" t="s">
        <v>368</v>
      </c>
      <c r="E974" s="243"/>
      <c r="F974" s="77"/>
      <c r="G974" s="115">
        <v>24.21</v>
      </c>
      <c r="H974" s="247">
        <v>29.21</v>
      </c>
      <c r="I974" s="77"/>
      <c r="J974" s="77" t="s">
        <v>905</v>
      </c>
      <c r="K974" s="93">
        <v>45291</v>
      </c>
      <c r="L974" s="77" t="s">
        <v>371</v>
      </c>
      <c r="M974" s="77" t="s">
        <v>372</v>
      </c>
      <c r="N974" s="94" t="s">
        <v>373</v>
      </c>
      <c r="O974" s="71"/>
      <c r="P974" s="71"/>
      <c r="Q974" s="71"/>
      <c r="R974" s="71"/>
      <c r="S974" s="71"/>
      <c r="T974" s="71"/>
      <c r="U974" s="71"/>
      <c r="V974" s="71"/>
      <c r="W974" s="71"/>
      <c r="X974" s="71"/>
      <c r="Y974" s="71"/>
      <c r="Z974" s="71"/>
      <c r="AA974" s="71"/>
      <c r="AB974" s="71"/>
      <c r="AC974" s="71"/>
      <c r="AD974" s="71"/>
      <c r="AE974" s="71"/>
      <c r="AF974" s="71"/>
      <c r="AG974" s="71"/>
      <c r="AH974" s="71"/>
      <c r="AI974" s="71"/>
      <c r="AJ974" s="71"/>
      <c r="AK974" s="71"/>
      <c r="AL974" s="71"/>
      <c r="AM974" s="71"/>
      <c r="AN974" s="71"/>
      <c r="AO974" s="71"/>
      <c r="AP974" s="71"/>
      <c r="AQ974" s="71"/>
      <c r="AR974" s="71"/>
      <c r="AS974" s="71"/>
      <c r="AT974" s="71"/>
    </row>
    <row r="975" spans="1:46" ht="15.65" hidden="1" customHeight="1" x14ac:dyDescent="0.25">
      <c r="A975" s="274" t="s">
        <v>342</v>
      </c>
      <c r="B975" s="274"/>
      <c r="C975" s="158" t="s">
        <v>753</v>
      </c>
      <c r="D975" s="78" t="s">
        <v>368</v>
      </c>
      <c r="E975" s="243"/>
      <c r="F975" s="77"/>
      <c r="G975" s="115">
        <v>37.520000000000003</v>
      </c>
      <c r="H975" s="247">
        <v>42.52</v>
      </c>
      <c r="I975" s="77"/>
      <c r="J975" s="77" t="s">
        <v>370</v>
      </c>
      <c r="K975" s="93">
        <v>45291</v>
      </c>
      <c r="L975" s="77" t="s">
        <v>371</v>
      </c>
      <c r="M975" s="77" t="s">
        <v>372</v>
      </c>
      <c r="N975" s="94" t="s">
        <v>373</v>
      </c>
    </row>
    <row r="976" spans="1:46" ht="15.65" hidden="1" customHeight="1" x14ac:dyDescent="0.25">
      <c r="A976" s="274" t="s">
        <v>342</v>
      </c>
      <c r="B976" s="274"/>
      <c r="C976" s="158" t="s">
        <v>753</v>
      </c>
      <c r="D976" s="78" t="s">
        <v>368</v>
      </c>
      <c r="E976" s="243"/>
      <c r="F976" s="77"/>
      <c r="G976" s="115">
        <v>48.5</v>
      </c>
      <c r="H976" s="247">
        <v>53.5</v>
      </c>
      <c r="I976" s="77"/>
      <c r="J976" s="77" t="s">
        <v>944</v>
      </c>
      <c r="K976" s="93">
        <v>45291</v>
      </c>
      <c r="L976" s="77" t="s">
        <v>371</v>
      </c>
      <c r="M976" s="77" t="s">
        <v>372</v>
      </c>
      <c r="N976" s="94" t="s">
        <v>373</v>
      </c>
    </row>
    <row r="977" spans="1:46" ht="15.65" hidden="1" customHeight="1" x14ac:dyDescent="0.25">
      <c r="A977" s="274" t="s">
        <v>342</v>
      </c>
      <c r="B977" s="274"/>
      <c r="C977" s="158" t="s">
        <v>753</v>
      </c>
      <c r="D977" s="78" t="s">
        <v>368</v>
      </c>
      <c r="E977" s="243"/>
      <c r="F977" s="77"/>
      <c r="G977" s="115">
        <v>48.5</v>
      </c>
      <c r="H977" s="247">
        <v>53.5</v>
      </c>
      <c r="I977" s="77"/>
      <c r="J977" s="77" t="s">
        <v>1024</v>
      </c>
      <c r="K977" s="93">
        <v>45291</v>
      </c>
      <c r="L977" s="77" t="s">
        <v>371</v>
      </c>
      <c r="M977" s="77" t="s">
        <v>372</v>
      </c>
      <c r="N977" s="94" t="s">
        <v>373</v>
      </c>
    </row>
    <row r="978" spans="1:46" ht="15.65" hidden="1" customHeight="1" x14ac:dyDescent="0.35">
      <c r="A978" s="264" t="s">
        <v>1025</v>
      </c>
      <c r="B978" s="264"/>
      <c r="C978" s="242" t="s">
        <v>1026</v>
      </c>
      <c r="D978" s="78" t="s">
        <v>368</v>
      </c>
      <c r="E978" s="243"/>
      <c r="F978" s="77"/>
      <c r="G978" s="250" t="s">
        <v>1027</v>
      </c>
      <c r="H978" s="250" t="s">
        <v>1028</v>
      </c>
      <c r="I978" s="77"/>
      <c r="J978" s="77" t="s">
        <v>437</v>
      </c>
      <c r="K978" s="93" t="s">
        <v>902</v>
      </c>
      <c r="L978" s="77" t="s">
        <v>903</v>
      </c>
      <c r="M978" s="77" t="s">
        <v>372</v>
      </c>
      <c r="N978" s="77" t="s">
        <v>443</v>
      </c>
    </row>
    <row r="979" spans="1:46" ht="15.65" hidden="1" customHeight="1" x14ac:dyDescent="0.25">
      <c r="A979" s="281" t="s">
        <v>345</v>
      </c>
      <c r="B979" s="281"/>
      <c r="C979" s="162" t="s">
        <v>1029</v>
      </c>
      <c r="D979" s="78" t="s">
        <v>368</v>
      </c>
      <c r="E979" s="243"/>
      <c r="F979" s="77"/>
      <c r="G979" s="247">
        <f>1.03*60</f>
        <v>61.800000000000004</v>
      </c>
      <c r="H979" s="247">
        <v>66.800000000000011</v>
      </c>
      <c r="I979" s="77"/>
      <c r="J979" s="77" t="s">
        <v>382</v>
      </c>
      <c r="K979" s="93">
        <v>45291</v>
      </c>
      <c r="L979" s="77" t="s">
        <v>371</v>
      </c>
      <c r="M979" s="77" t="s">
        <v>20</v>
      </c>
      <c r="N979" s="94" t="s">
        <v>893</v>
      </c>
    </row>
    <row r="980" spans="1:46" s="89" customFormat="1" ht="15.65" hidden="1" customHeight="1" x14ac:dyDescent="0.25">
      <c r="A980" s="274" t="s">
        <v>345</v>
      </c>
      <c r="B980" s="274"/>
      <c r="C980" s="158" t="s">
        <v>1029</v>
      </c>
      <c r="D980" s="78" t="s">
        <v>368</v>
      </c>
      <c r="E980" s="243"/>
      <c r="F980" s="77"/>
      <c r="G980" s="115">
        <v>62.099999999999994</v>
      </c>
      <c r="H980" s="247">
        <v>67.099999999999994</v>
      </c>
      <c r="I980" s="77"/>
      <c r="J980" s="77" t="s">
        <v>944</v>
      </c>
      <c r="K980" s="93">
        <v>45291</v>
      </c>
      <c r="L980" s="77" t="s">
        <v>371</v>
      </c>
      <c r="M980" s="77" t="s">
        <v>372</v>
      </c>
      <c r="N980" s="94" t="s">
        <v>373</v>
      </c>
      <c r="O980" s="71"/>
      <c r="P980" s="71"/>
      <c r="Q980" s="71"/>
      <c r="R980" s="71"/>
      <c r="S980" s="71"/>
      <c r="T980" s="71"/>
      <c r="U980" s="71"/>
      <c r="V980" s="71"/>
      <c r="W980" s="71"/>
      <c r="X980" s="71"/>
      <c r="Y980" s="71"/>
      <c r="Z980" s="71"/>
      <c r="AA980" s="71"/>
      <c r="AB980" s="71"/>
      <c r="AC980" s="71"/>
      <c r="AD980" s="71"/>
      <c r="AE980" s="71"/>
      <c r="AF980" s="71"/>
      <c r="AG980" s="71"/>
      <c r="AH980" s="71"/>
      <c r="AI980" s="71"/>
      <c r="AJ980" s="71"/>
      <c r="AK980" s="71"/>
      <c r="AL980" s="71"/>
      <c r="AM980" s="71"/>
      <c r="AN980" s="71"/>
      <c r="AO980" s="71"/>
      <c r="AP980" s="71"/>
      <c r="AQ980" s="71"/>
      <c r="AR980" s="71"/>
      <c r="AS980" s="71"/>
      <c r="AT980" s="71"/>
    </row>
    <row r="981" spans="1:46" s="89" customFormat="1" ht="15.65" hidden="1" customHeight="1" x14ac:dyDescent="0.25">
      <c r="A981" s="281" t="s">
        <v>349</v>
      </c>
      <c r="B981" s="281"/>
      <c r="C981" s="162" t="s">
        <v>757</v>
      </c>
      <c r="D981" s="78" t="s">
        <v>368</v>
      </c>
      <c r="E981" s="243"/>
      <c r="F981" s="77"/>
      <c r="G981" s="247">
        <v>85.45</v>
      </c>
      <c r="H981" s="247">
        <v>90.45</v>
      </c>
      <c r="I981" s="77"/>
      <c r="J981" s="77" t="s">
        <v>382</v>
      </c>
      <c r="K981" s="93">
        <v>45291</v>
      </c>
      <c r="L981" s="77" t="s">
        <v>371</v>
      </c>
      <c r="M981" s="77" t="s">
        <v>20</v>
      </c>
      <c r="N981" s="94" t="s">
        <v>893</v>
      </c>
      <c r="O981" s="71"/>
      <c r="P981" s="71"/>
      <c r="Q981" s="71"/>
      <c r="R981" s="71"/>
      <c r="S981" s="71"/>
      <c r="T981" s="71"/>
      <c r="U981" s="71"/>
      <c r="V981" s="71"/>
      <c r="W981" s="71"/>
      <c r="X981" s="71"/>
      <c r="Y981" s="71"/>
      <c r="Z981" s="71"/>
      <c r="AA981" s="71"/>
      <c r="AB981" s="71"/>
      <c r="AC981" s="71"/>
      <c r="AD981" s="71"/>
      <c r="AE981" s="71"/>
      <c r="AF981" s="71"/>
      <c r="AG981" s="71"/>
      <c r="AH981" s="71"/>
      <c r="AI981" s="71"/>
      <c r="AJ981" s="71"/>
      <c r="AK981" s="71"/>
      <c r="AL981" s="71"/>
      <c r="AM981" s="71"/>
      <c r="AN981" s="71"/>
      <c r="AO981" s="71"/>
      <c r="AP981" s="71"/>
      <c r="AQ981" s="71"/>
      <c r="AR981" s="71"/>
      <c r="AS981" s="71"/>
      <c r="AT981" s="71"/>
    </row>
    <row r="982" spans="1:46" s="89" customFormat="1" ht="15.65" hidden="1" customHeight="1" x14ac:dyDescent="0.25">
      <c r="A982" s="281" t="s">
        <v>353</v>
      </c>
      <c r="B982" s="281"/>
      <c r="C982" s="162" t="s">
        <v>1030</v>
      </c>
      <c r="D982" s="78" t="s">
        <v>368</v>
      </c>
      <c r="E982" s="243"/>
      <c r="F982" s="77"/>
      <c r="G982" s="247">
        <v>88</v>
      </c>
      <c r="H982" s="247">
        <v>93</v>
      </c>
      <c r="I982" s="77"/>
      <c r="J982" s="77" t="s">
        <v>382</v>
      </c>
      <c r="K982" s="93">
        <v>45291</v>
      </c>
      <c r="L982" s="77" t="s">
        <v>371</v>
      </c>
      <c r="M982" s="77" t="s">
        <v>20</v>
      </c>
      <c r="N982" s="94" t="s">
        <v>893</v>
      </c>
      <c r="O982" s="71"/>
      <c r="P982" s="71"/>
      <c r="Q982" s="71"/>
      <c r="R982" s="71"/>
      <c r="S982" s="71"/>
      <c r="T982" s="71"/>
      <c r="U982" s="71"/>
      <c r="V982" s="71"/>
      <c r="W982" s="71"/>
      <c r="X982" s="71"/>
      <c r="Y982" s="71"/>
      <c r="Z982" s="71"/>
      <c r="AA982" s="71"/>
      <c r="AB982" s="71"/>
      <c r="AC982" s="71"/>
      <c r="AD982" s="71"/>
      <c r="AE982" s="71"/>
      <c r="AF982" s="71"/>
      <c r="AG982" s="71"/>
      <c r="AH982" s="71"/>
      <c r="AI982" s="71"/>
      <c r="AJ982" s="71"/>
      <c r="AK982" s="71"/>
      <c r="AL982" s="71"/>
      <c r="AM982" s="71"/>
      <c r="AN982" s="71"/>
      <c r="AO982" s="71"/>
      <c r="AP982" s="71"/>
      <c r="AQ982" s="71"/>
      <c r="AR982" s="71"/>
      <c r="AS982" s="71"/>
      <c r="AT982" s="71"/>
    </row>
    <row r="983" spans="1:46" s="89" customFormat="1" ht="15.65" hidden="1" customHeight="1" x14ac:dyDescent="0.25">
      <c r="A983" s="274" t="s">
        <v>353</v>
      </c>
      <c r="B983" s="274"/>
      <c r="C983" s="158" t="s">
        <v>1030</v>
      </c>
      <c r="D983" s="78" t="s">
        <v>368</v>
      </c>
      <c r="E983" s="243"/>
      <c r="F983" s="77"/>
      <c r="G983" s="115">
        <v>76.796999999999997</v>
      </c>
      <c r="H983" s="247">
        <v>81.796999999999997</v>
      </c>
      <c r="I983" s="77"/>
      <c r="J983" s="77" t="s">
        <v>944</v>
      </c>
      <c r="K983" s="93">
        <v>45291</v>
      </c>
      <c r="L983" s="77" t="s">
        <v>371</v>
      </c>
      <c r="M983" s="77" t="s">
        <v>372</v>
      </c>
      <c r="N983" s="94" t="s">
        <v>373</v>
      </c>
      <c r="O983" s="71"/>
      <c r="P983" s="71"/>
      <c r="Q983" s="71"/>
      <c r="R983" s="71"/>
      <c r="S983" s="71"/>
      <c r="T983" s="71"/>
      <c r="U983" s="71"/>
      <c r="V983" s="71"/>
      <c r="W983" s="71"/>
      <c r="X983" s="71"/>
      <c r="Y983" s="71"/>
      <c r="Z983" s="71"/>
      <c r="AA983" s="71"/>
      <c r="AB983" s="71"/>
      <c r="AC983" s="71"/>
      <c r="AD983" s="71"/>
      <c r="AE983" s="71"/>
      <c r="AF983" s="71"/>
      <c r="AG983" s="71"/>
      <c r="AH983" s="71"/>
      <c r="AI983" s="71"/>
      <c r="AJ983" s="71"/>
      <c r="AK983" s="71"/>
      <c r="AL983" s="71"/>
      <c r="AM983" s="71"/>
      <c r="AN983" s="71"/>
      <c r="AO983" s="71"/>
      <c r="AP983" s="71"/>
      <c r="AQ983" s="71"/>
      <c r="AR983" s="71"/>
      <c r="AS983" s="71"/>
      <c r="AT983" s="71"/>
    </row>
    <row r="984" spans="1:46" s="89" customFormat="1" ht="15.65" hidden="1" customHeight="1" x14ac:dyDescent="0.25">
      <c r="A984" s="281" t="s">
        <v>768</v>
      </c>
      <c r="B984" s="281"/>
      <c r="C984" s="162" t="s">
        <v>1031</v>
      </c>
      <c r="D984" s="78" t="s">
        <v>368</v>
      </c>
      <c r="E984" s="243"/>
      <c r="F984" s="77"/>
      <c r="G984" s="247">
        <v>50</v>
      </c>
      <c r="H984" s="247">
        <v>55</v>
      </c>
      <c r="I984" s="77"/>
      <c r="J984" s="77" t="s">
        <v>382</v>
      </c>
      <c r="K984" s="93">
        <v>45291</v>
      </c>
      <c r="L984" s="77" t="s">
        <v>371</v>
      </c>
      <c r="M984" s="77" t="s">
        <v>20</v>
      </c>
      <c r="N984" s="94" t="s">
        <v>893</v>
      </c>
      <c r="O984" s="71"/>
      <c r="P984" s="71"/>
      <c r="Q984" s="71"/>
      <c r="R984" s="71"/>
      <c r="S984" s="71"/>
      <c r="T984" s="71"/>
      <c r="U984" s="71"/>
      <c r="V984" s="71"/>
      <c r="W984" s="71"/>
      <c r="X984" s="71"/>
      <c r="Y984" s="71"/>
      <c r="Z984" s="71"/>
      <c r="AA984" s="71"/>
      <c r="AB984" s="71"/>
      <c r="AC984" s="71"/>
      <c r="AD984" s="71"/>
      <c r="AE984" s="71"/>
      <c r="AF984" s="71"/>
      <c r="AG984" s="71"/>
      <c r="AH984" s="71"/>
      <c r="AI984" s="71"/>
      <c r="AJ984" s="71"/>
      <c r="AK984" s="71"/>
      <c r="AL984" s="71"/>
      <c r="AM984" s="71"/>
      <c r="AN984" s="71"/>
      <c r="AO984" s="71"/>
      <c r="AP984" s="71"/>
      <c r="AQ984" s="71"/>
      <c r="AR984" s="71"/>
      <c r="AS984" s="71"/>
      <c r="AT984" s="71"/>
    </row>
    <row r="985" spans="1:46" ht="15.65" hidden="1" customHeight="1" x14ac:dyDescent="0.25">
      <c r="A985" s="281" t="s">
        <v>770</v>
      </c>
      <c r="B985" s="281"/>
      <c r="C985" s="162" t="s">
        <v>922</v>
      </c>
      <c r="D985" s="78" t="s">
        <v>368</v>
      </c>
      <c r="E985" s="243"/>
      <c r="F985" s="77"/>
      <c r="G985" s="247">
        <v>43</v>
      </c>
      <c r="H985" s="247">
        <v>48</v>
      </c>
      <c r="I985" s="77"/>
      <c r="J985" s="77" t="s">
        <v>382</v>
      </c>
      <c r="K985" s="93">
        <v>45291</v>
      </c>
      <c r="L985" s="77" t="s">
        <v>371</v>
      </c>
      <c r="M985" s="77" t="s">
        <v>20</v>
      </c>
      <c r="N985" s="94" t="s">
        <v>893</v>
      </c>
    </row>
    <row r="986" spans="1:46" ht="15.65" hidden="1" customHeight="1" x14ac:dyDescent="0.25">
      <c r="A986" s="246" t="s">
        <v>775</v>
      </c>
      <c r="B986" s="246"/>
      <c r="C986" s="162" t="s">
        <v>776</v>
      </c>
      <c r="D986" s="78" t="s">
        <v>368</v>
      </c>
      <c r="E986" s="243"/>
      <c r="F986" s="77"/>
      <c r="G986" s="247">
        <v>40</v>
      </c>
      <c r="H986" s="247">
        <v>45</v>
      </c>
      <c r="I986" s="77"/>
      <c r="J986" s="77" t="s">
        <v>382</v>
      </c>
      <c r="K986" s="93">
        <v>45291</v>
      </c>
      <c r="L986" s="77" t="s">
        <v>371</v>
      </c>
      <c r="M986" s="77" t="s">
        <v>20</v>
      </c>
      <c r="N986" s="94" t="s">
        <v>893</v>
      </c>
    </row>
    <row r="987" spans="1:46" ht="15.65" hidden="1" customHeight="1" x14ac:dyDescent="0.25">
      <c r="A987" s="274" t="s">
        <v>775</v>
      </c>
      <c r="B987" s="274"/>
      <c r="C987" s="158" t="s">
        <v>776</v>
      </c>
      <c r="D987" s="78" t="s">
        <v>368</v>
      </c>
      <c r="E987" s="243"/>
      <c r="F987" s="77"/>
      <c r="G987" s="115">
        <v>33.658200000000001</v>
      </c>
      <c r="H987" s="247">
        <v>38.658200000000001</v>
      </c>
      <c r="I987" s="77"/>
      <c r="J987" s="77" t="s">
        <v>923</v>
      </c>
      <c r="K987" s="93">
        <v>45291</v>
      </c>
      <c r="L987" s="77" t="s">
        <v>371</v>
      </c>
      <c r="M987" s="77" t="s">
        <v>372</v>
      </c>
      <c r="N987" s="94" t="s">
        <v>373</v>
      </c>
    </row>
    <row r="988" spans="1:46" s="89" customFormat="1" ht="15.65" hidden="1" customHeight="1" x14ac:dyDescent="0.25">
      <c r="A988" s="281" t="s">
        <v>360</v>
      </c>
      <c r="B988" s="281"/>
      <c r="C988" s="162" t="s">
        <v>777</v>
      </c>
      <c r="D988" s="78" t="s">
        <v>368</v>
      </c>
      <c r="E988" s="243"/>
      <c r="F988" s="77"/>
      <c r="G988" s="247">
        <v>43.95</v>
      </c>
      <c r="H988" s="247">
        <v>48.95</v>
      </c>
      <c r="I988" s="77"/>
      <c r="J988" s="77" t="s">
        <v>382</v>
      </c>
      <c r="K988" s="93">
        <v>45291</v>
      </c>
      <c r="L988" s="77" t="s">
        <v>371</v>
      </c>
      <c r="M988" s="77" t="s">
        <v>20</v>
      </c>
      <c r="N988" s="94" t="s">
        <v>893</v>
      </c>
      <c r="O988" s="71"/>
      <c r="P988" s="71"/>
      <c r="Q988" s="71"/>
      <c r="R988" s="71"/>
      <c r="S988" s="71"/>
      <c r="T988" s="71"/>
      <c r="U988" s="71"/>
      <c r="V988" s="71"/>
      <c r="W988" s="71"/>
      <c r="X988" s="71"/>
      <c r="Y988" s="71"/>
      <c r="Z988" s="71"/>
      <c r="AA988" s="71"/>
      <c r="AB988" s="71"/>
      <c r="AC988" s="71"/>
      <c r="AD988" s="71"/>
      <c r="AE988" s="71"/>
      <c r="AF988" s="71"/>
      <c r="AG988" s="71"/>
      <c r="AH988" s="71"/>
      <c r="AI988" s="71"/>
      <c r="AJ988" s="71"/>
      <c r="AK988" s="71"/>
      <c r="AL988" s="71"/>
      <c r="AM988" s="71"/>
      <c r="AN988" s="71"/>
      <c r="AO988" s="71"/>
      <c r="AP988" s="71"/>
      <c r="AQ988" s="71"/>
      <c r="AR988" s="71"/>
      <c r="AS988" s="71"/>
      <c r="AT988" s="71"/>
    </row>
    <row r="989" spans="1:46" s="89" customFormat="1" ht="15.65" hidden="1" customHeight="1" x14ac:dyDescent="0.25">
      <c r="A989" s="281" t="s">
        <v>784</v>
      </c>
      <c r="B989" s="281"/>
      <c r="C989" s="162" t="s">
        <v>367</v>
      </c>
      <c r="D989" s="78" t="s">
        <v>368</v>
      </c>
      <c r="E989" s="243"/>
      <c r="F989" s="77"/>
      <c r="G989" s="247">
        <v>23</v>
      </c>
      <c r="H989" s="247">
        <v>28</v>
      </c>
      <c r="I989" s="77"/>
      <c r="J989" s="77" t="s">
        <v>382</v>
      </c>
      <c r="K989" s="93">
        <v>45291</v>
      </c>
      <c r="L989" s="77" t="s">
        <v>371</v>
      </c>
      <c r="M989" s="77" t="s">
        <v>20</v>
      </c>
      <c r="N989" s="94" t="s">
        <v>893</v>
      </c>
      <c r="O989" s="71"/>
      <c r="P989" s="71"/>
      <c r="Q989" s="71"/>
      <c r="R989" s="71"/>
      <c r="S989" s="71"/>
      <c r="T989" s="71"/>
      <c r="U989" s="71"/>
      <c r="V989" s="71"/>
      <c r="W989" s="71"/>
      <c r="X989" s="71"/>
      <c r="Y989" s="71"/>
      <c r="Z989" s="71"/>
      <c r="AA989" s="71"/>
      <c r="AB989" s="71"/>
      <c r="AC989" s="71"/>
      <c r="AD989" s="71"/>
      <c r="AE989" s="71"/>
      <c r="AF989" s="71"/>
      <c r="AG989" s="71"/>
      <c r="AH989" s="71"/>
      <c r="AI989" s="71"/>
      <c r="AJ989" s="71"/>
      <c r="AK989" s="71"/>
      <c r="AL989" s="71"/>
      <c r="AM989" s="71"/>
      <c r="AN989" s="71"/>
      <c r="AO989" s="71"/>
      <c r="AP989" s="71"/>
      <c r="AQ989" s="71"/>
      <c r="AR989" s="71"/>
      <c r="AS989" s="71"/>
      <c r="AT989" s="71"/>
    </row>
    <row r="990" spans="1:46" s="89" customFormat="1" ht="15.65" hidden="1" customHeight="1" x14ac:dyDescent="0.35">
      <c r="A990" s="268" t="s">
        <v>785</v>
      </c>
      <c r="B990" s="268"/>
      <c r="C990" s="158" t="s">
        <v>1032</v>
      </c>
      <c r="D990" s="78" t="s">
        <v>368</v>
      </c>
      <c r="E990" s="243"/>
      <c r="F990" s="77"/>
      <c r="G990" s="252">
        <v>60.35</v>
      </c>
      <c r="H990" s="252">
        <v>65.349999999999994</v>
      </c>
      <c r="I990" s="77"/>
      <c r="J990" s="77" t="s">
        <v>1033</v>
      </c>
      <c r="K990" s="93">
        <v>45291</v>
      </c>
      <c r="L990" s="77" t="s">
        <v>1034</v>
      </c>
      <c r="M990" s="77" t="s">
        <v>20</v>
      </c>
      <c r="N990" s="94" t="s">
        <v>929</v>
      </c>
      <c r="O990" s="71"/>
      <c r="P990" s="71"/>
      <c r="Q990" s="71"/>
      <c r="R990" s="71"/>
      <c r="S990" s="71"/>
      <c r="T990" s="71"/>
      <c r="U990" s="71"/>
      <c r="V990" s="71"/>
      <c r="W990" s="71"/>
      <c r="X990" s="71"/>
      <c r="Y990" s="71"/>
      <c r="Z990" s="71"/>
      <c r="AA990" s="71"/>
      <c r="AB990" s="71"/>
      <c r="AC990" s="71"/>
      <c r="AD990" s="71"/>
      <c r="AE990" s="71"/>
      <c r="AF990" s="71"/>
      <c r="AG990" s="71"/>
      <c r="AH990" s="71"/>
      <c r="AI990" s="71"/>
      <c r="AJ990" s="71"/>
      <c r="AK990" s="71"/>
      <c r="AL990" s="71"/>
      <c r="AM990" s="71"/>
      <c r="AN990" s="71"/>
      <c r="AO990" s="71"/>
      <c r="AP990" s="71"/>
      <c r="AQ990" s="71"/>
      <c r="AR990" s="71"/>
      <c r="AS990" s="71"/>
      <c r="AT990" s="71"/>
    </row>
    <row r="991" spans="1:46" ht="15.65" hidden="1" customHeight="1" x14ac:dyDescent="0.25">
      <c r="A991" s="281" t="s">
        <v>1035</v>
      </c>
      <c r="B991" s="281"/>
      <c r="C991" s="162" t="s">
        <v>1036</v>
      </c>
      <c r="D991" s="78" t="s">
        <v>368</v>
      </c>
      <c r="E991" s="243"/>
      <c r="F991" s="77"/>
      <c r="G991" s="247">
        <v>38</v>
      </c>
      <c r="H991" s="247">
        <v>43</v>
      </c>
      <c r="I991" s="77"/>
      <c r="J991" s="77" t="s">
        <v>382</v>
      </c>
      <c r="K991" s="93">
        <v>45291</v>
      </c>
      <c r="L991" s="77" t="s">
        <v>371</v>
      </c>
      <c r="M991" s="77" t="s">
        <v>20</v>
      </c>
      <c r="N991" s="94" t="s">
        <v>893</v>
      </c>
    </row>
    <row r="992" spans="1:46" ht="15.65" hidden="1" customHeight="1" x14ac:dyDescent="0.25">
      <c r="A992" s="281" t="s">
        <v>788</v>
      </c>
      <c r="B992" s="281"/>
      <c r="C992" s="162" t="s">
        <v>789</v>
      </c>
      <c r="D992" s="78" t="s">
        <v>368</v>
      </c>
      <c r="E992" s="243"/>
      <c r="F992" s="77"/>
      <c r="G992" s="247">
        <v>81.05</v>
      </c>
      <c r="H992" s="247">
        <v>86.05</v>
      </c>
      <c r="I992" s="77"/>
      <c r="J992" s="77" t="s">
        <v>382</v>
      </c>
      <c r="K992" s="93">
        <v>45291</v>
      </c>
      <c r="L992" s="77" t="s">
        <v>371</v>
      </c>
      <c r="M992" s="77" t="s">
        <v>20</v>
      </c>
      <c r="N992" s="94" t="s">
        <v>893</v>
      </c>
    </row>
    <row r="993" spans="1:46" ht="15.65" hidden="1" customHeight="1" x14ac:dyDescent="0.25">
      <c r="A993" s="268" t="s">
        <v>1037</v>
      </c>
      <c r="B993" s="268"/>
      <c r="C993" s="158" t="s">
        <v>1038</v>
      </c>
      <c r="D993" s="78" t="s">
        <v>368</v>
      </c>
      <c r="E993" s="290" t="s">
        <v>369</v>
      </c>
      <c r="F993" s="77"/>
      <c r="G993" s="115">
        <v>79</v>
      </c>
      <c r="H993" s="247">
        <v>84</v>
      </c>
      <c r="I993" s="77"/>
      <c r="J993" s="77" t="s">
        <v>947</v>
      </c>
      <c r="K993" s="93">
        <v>45291</v>
      </c>
      <c r="L993" s="77" t="s">
        <v>1014</v>
      </c>
      <c r="M993" s="77" t="s">
        <v>20</v>
      </c>
      <c r="N993" s="94"/>
    </row>
    <row r="994" spans="1:46" ht="15.65" hidden="1" customHeight="1" x14ac:dyDescent="0.35">
      <c r="A994" s="268" t="s">
        <v>1039</v>
      </c>
      <c r="B994" s="268"/>
      <c r="C994" s="158" t="s">
        <v>1040</v>
      </c>
      <c r="D994" s="78" t="s">
        <v>368</v>
      </c>
      <c r="E994" s="243"/>
      <c r="F994" s="77"/>
      <c r="G994" s="92">
        <v>119.05</v>
      </c>
      <c r="H994" s="92">
        <v>124.05</v>
      </c>
      <c r="I994" s="77"/>
      <c r="J994" s="77" t="s">
        <v>1041</v>
      </c>
      <c r="K994" s="93">
        <v>45291</v>
      </c>
      <c r="L994" s="77" t="s">
        <v>990</v>
      </c>
      <c r="M994" s="77" t="s">
        <v>20</v>
      </c>
      <c r="N994" s="94" t="s">
        <v>920</v>
      </c>
    </row>
    <row r="995" spans="1:46" ht="15.65" hidden="1" customHeight="1" x14ac:dyDescent="0.35">
      <c r="A995" s="264" t="s">
        <v>69</v>
      </c>
      <c r="B995" s="264"/>
      <c r="C995" s="242" t="s">
        <v>70</v>
      </c>
      <c r="D995" s="78" t="s">
        <v>368</v>
      </c>
      <c r="E995" s="243"/>
      <c r="F995" s="244"/>
      <c r="G995" s="164">
        <v>71</v>
      </c>
      <c r="H995" s="164">
        <v>76</v>
      </c>
      <c r="I995" s="244"/>
      <c r="J995" s="77" t="s">
        <v>975</v>
      </c>
      <c r="K995" s="245">
        <v>45016</v>
      </c>
      <c r="L995" s="77" t="s">
        <v>1042</v>
      </c>
      <c r="M995" s="77" t="s">
        <v>401</v>
      </c>
      <c r="N995" s="77" t="s">
        <v>443</v>
      </c>
    </row>
    <row r="996" spans="1:46" ht="15.65" hidden="1" customHeight="1" x14ac:dyDescent="0.25">
      <c r="A996" s="281" t="s">
        <v>69</v>
      </c>
      <c r="B996" s="281"/>
      <c r="C996" s="162" t="s">
        <v>70</v>
      </c>
      <c r="D996" s="78" t="s">
        <v>368</v>
      </c>
      <c r="E996" s="243"/>
      <c r="F996" s="77"/>
      <c r="G996" s="247">
        <v>71</v>
      </c>
      <c r="H996" s="247">
        <v>76</v>
      </c>
      <c r="I996" s="77"/>
      <c r="J996" s="77" t="s">
        <v>382</v>
      </c>
      <c r="K996" s="93">
        <v>45291</v>
      </c>
      <c r="L996" s="77" t="s">
        <v>371</v>
      </c>
      <c r="M996" s="77" t="s">
        <v>20</v>
      </c>
      <c r="N996" s="94" t="s">
        <v>893</v>
      </c>
    </row>
    <row r="997" spans="1:46" s="89" customFormat="1" ht="15.65" hidden="1" customHeight="1" x14ac:dyDescent="0.25">
      <c r="A997" s="281" t="s">
        <v>793</v>
      </c>
      <c r="B997" s="281"/>
      <c r="C997" s="162" t="s">
        <v>794</v>
      </c>
      <c r="D997" s="78" t="s">
        <v>368</v>
      </c>
      <c r="E997" s="243"/>
      <c r="F997" s="77"/>
      <c r="G997" s="247">
        <f>1.03*62.75</f>
        <v>64.632500000000007</v>
      </c>
      <c r="H997" s="247">
        <v>69.632500000000007</v>
      </c>
      <c r="I997" s="77"/>
      <c r="J997" s="77" t="s">
        <v>382</v>
      </c>
      <c r="K997" s="93">
        <v>45291</v>
      </c>
      <c r="L997" s="77" t="s">
        <v>371</v>
      </c>
      <c r="M997" s="77" t="s">
        <v>20</v>
      </c>
      <c r="N997" s="94" t="s">
        <v>893</v>
      </c>
      <c r="O997" s="71"/>
      <c r="P997" s="71"/>
      <c r="Q997" s="71"/>
      <c r="R997" s="71"/>
      <c r="S997" s="71"/>
      <c r="T997" s="71"/>
      <c r="U997" s="71"/>
      <c r="V997" s="71"/>
      <c r="W997" s="71"/>
      <c r="X997" s="71"/>
      <c r="Y997" s="71"/>
      <c r="Z997" s="71"/>
      <c r="AA997" s="71"/>
      <c r="AB997" s="71"/>
      <c r="AC997" s="71"/>
      <c r="AD997" s="71"/>
      <c r="AE997" s="71"/>
      <c r="AF997" s="71"/>
      <c r="AG997" s="71"/>
      <c r="AH997" s="71"/>
      <c r="AI997" s="71"/>
      <c r="AJ997" s="71"/>
      <c r="AK997" s="71"/>
      <c r="AL997" s="71"/>
      <c r="AM997" s="71"/>
      <c r="AN997" s="71"/>
      <c r="AO997" s="71"/>
      <c r="AP997" s="71"/>
      <c r="AQ997" s="71"/>
      <c r="AR997" s="71"/>
      <c r="AS997" s="71"/>
      <c r="AT997" s="71"/>
    </row>
    <row r="998" spans="1:46" s="89" customFormat="1" ht="15.65" hidden="1" customHeight="1" x14ac:dyDescent="0.25">
      <c r="A998" s="281" t="s">
        <v>797</v>
      </c>
      <c r="B998" s="281"/>
      <c r="C998" s="162" t="s">
        <v>798</v>
      </c>
      <c r="D998" s="78" t="s">
        <v>368</v>
      </c>
      <c r="E998" s="243"/>
      <c r="F998" s="77"/>
      <c r="G998" s="247">
        <v>106</v>
      </c>
      <c r="H998" s="247">
        <v>111</v>
      </c>
      <c r="I998" s="77"/>
      <c r="J998" s="77" t="s">
        <v>382</v>
      </c>
      <c r="K998" s="93">
        <v>45291</v>
      </c>
      <c r="L998" s="77" t="s">
        <v>371</v>
      </c>
      <c r="M998" s="77" t="s">
        <v>20</v>
      </c>
      <c r="N998" s="94" t="s">
        <v>893</v>
      </c>
      <c r="O998" s="71"/>
      <c r="P998" s="71"/>
      <c r="Q998" s="71"/>
      <c r="R998" s="71"/>
      <c r="S998" s="71"/>
      <c r="T998" s="71"/>
      <c r="U998" s="71"/>
      <c r="V998" s="71"/>
      <c r="W998" s="71"/>
      <c r="X998" s="71"/>
      <c r="Y998" s="71"/>
      <c r="Z998" s="71"/>
      <c r="AA998" s="71"/>
      <c r="AB998" s="71"/>
      <c r="AC998" s="71"/>
      <c r="AD998" s="71"/>
      <c r="AE998" s="71"/>
      <c r="AF998" s="71"/>
      <c r="AG998" s="71"/>
      <c r="AH998" s="71"/>
      <c r="AI998" s="71"/>
      <c r="AJ998" s="71"/>
      <c r="AK998" s="71"/>
      <c r="AL998" s="71"/>
      <c r="AM998" s="71"/>
      <c r="AN998" s="71"/>
      <c r="AO998" s="71"/>
      <c r="AP998" s="71"/>
      <c r="AQ998" s="71"/>
      <c r="AR998" s="71"/>
      <c r="AS998" s="71"/>
      <c r="AT998" s="71"/>
    </row>
    <row r="999" spans="1:46" s="89" customFormat="1" ht="15.65" hidden="1" customHeight="1" x14ac:dyDescent="0.25">
      <c r="A999" s="274" t="s">
        <v>797</v>
      </c>
      <c r="B999" s="274"/>
      <c r="C999" s="158" t="s">
        <v>798</v>
      </c>
      <c r="D999" s="78" t="s">
        <v>368</v>
      </c>
      <c r="E999" s="243"/>
      <c r="F999" s="77"/>
      <c r="G999" s="115">
        <v>103.08599999999998</v>
      </c>
      <c r="H999" s="247">
        <v>108.08599999999998</v>
      </c>
      <c r="I999" s="77"/>
      <c r="J999" s="77" t="s">
        <v>907</v>
      </c>
      <c r="K999" s="93">
        <v>45291</v>
      </c>
      <c r="L999" s="77" t="s">
        <v>371</v>
      </c>
      <c r="M999" s="77" t="s">
        <v>372</v>
      </c>
      <c r="N999" s="94" t="s">
        <v>373</v>
      </c>
      <c r="O999" s="71"/>
      <c r="P999" s="71"/>
      <c r="Q999" s="71"/>
      <c r="R999" s="71"/>
      <c r="S999" s="71"/>
      <c r="T999" s="71"/>
      <c r="U999" s="71"/>
      <c r="V999" s="71"/>
      <c r="W999" s="71"/>
      <c r="X999" s="71"/>
      <c r="Y999" s="71"/>
      <c r="Z999" s="71"/>
      <c r="AA999" s="71"/>
      <c r="AB999" s="71"/>
      <c r="AC999" s="71"/>
      <c r="AD999" s="71"/>
      <c r="AE999" s="71"/>
      <c r="AF999" s="71"/>
      <c r="AG999" s="71"/>
      <c r="AH999" s="71"/>
      <c r="AI999" s="71"/>
      <c r="AJ999" s="71"/>
      <c r="AK999" s="71"/>
      <c r="AL999" s="71"/>
      <c r="AM999" s="71"/>
      <c r="AN999" s="71"/>
      <c r="AO999" s="71"/>
      <c r="AP999" s="71"/>
      <c r="AQ999" s="71"/>
      <c r="AR999" s="71"/>
      <c r="AS999" s="71"/>
      <c r="AT999" s="71"/>
    </row>
    <row r="1000" spans="1:46" s="89" customFormat="1" ht="15.65" hidden="1" customHeight="1" x14ac:dyDescent="0.35">
      <c r="A1000" s="268" t="s">
        <v>862</v>
      </c>
      <c r="B1000" s="268"/>
      <c r="C1000" s="158" t="s">
        <v>1043</v>
      </c>
      <c r="D1000" s="78" t="s">
        <v>368</v>
      </c>
      <c r="E1000" s="243"/>
      <c r="F1000" s="77"/>
      <c r="G1000" s="252">
        <v>223.35</v>
      </c>
      <c r="H1000" s="252">
        <f>G1000+5</f>
        <v>228.35</v>
      </c>
      <c r="I1000" s="77"/>
      <c r="J1000" s="77" t="s">
        <v>437</v>
      </c>
      <c r="K1000" s="93">
        <v>45291</v>
      </c>
      <c r="L1000" s="77" t="s">
        <v>939</v>
      </c>
      <c r="M1000" s="77" t="s">
        <v>372</v>
      </c>
      <c r="N1000" s="94" t="s">
        <v>940</v>
      </c>
      <c r="O1000" s="71"/>
      <c r="P1000" s="71"/>
      <c r="Q1000" s="71"/>
      <c r="R1000" s="71"/>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c r="AS1000" s="71"/>
      <c r="AT1000" s="71"/>
    </row>
    <row r="1001" spans="1:46" ht="15.65" hidden="1" customHeight="1" x14ac:dyDescent="0.35">
      <c r="A1001" s="268" t="s">
        <v>862</v>
      </c>
      <c r="B1001" s="268"/>
      <c r="C1001" s="158" t="s">
        <v>804</v>
      </c>
      <c r="D1001" s="78" t="s">
        <v>368</v>
      </c>
      <c r="E1001" s="243"/>
      <c r="F1001" s="77"/>
      <c r="G1001" s="252">
        <v>235.01</v>
      </c>
      <c r="H1001" s="252">
        <v>240.01</v>
      </c>
      <c r="I1001" s="77"/>
      <c r="J1001" s="77" t="s">
        <v>1033</v>
      </c>
      <c r="K1001" s="93">
        <v>45291</v>
      </c>
      <c r="L1001" s="77" t="s">
        <v>1034</v>
      </c>
      <c r="M1001" s="77" t="s">
        <v>20</v>
      </c>
      <c r="N1001" s="94" t="s">
        <v>929</v>
      </c>
    </row>
    <row r="1002" spans="1:46" ht="15.65" hidden="1" customHeight="1" x14ac:dyDescent="0.25">
      <c r="A1002" s="274" t="s">
        <v>862</v>
      </c>
      <c r="B1002" s="274"/>
      <c r="C1002" s="158" t="s">
        <v>804</v>
      </c>
      <c r="D1002" s="78" t="s">
        <v>368</v>
      </c>
      <c r="E1002" s="243"/>
      <c r="F1002" s="77"/>
      <c r="G1002" s="115">
        <v>312.57</v>
      </c>
      <c r="H1002" s="247">
        <v>317.57</v>
      </c>
      <c r="I1002" s="77"/>
      <c r="J1002" s="77" t="s">
        <v>907</v>
      </c>
      <c r="K1002" s="93">
        <v>45291</v>
      </c>
      <c r="L1002" s="77" t="s">
        <v>371</v>
      </c>
      <c r="M1002" s="77" t="s">
        <v>372</v>
      </c>
      <c r="N1002" s="94" t="s">
        <v>373</v>
      </c>
    </row>
    <row r="1003" spans="1:46" ht="15.65" hidden="1" customHeight="1" x14ac:dyDescent="0.25">
      <c r="A1003" s="281" t="s">
        <v>807</v>
      </c>
      <c r="B1003" s="281"/>
      <c r="C1003" s="162" t="s">
        <v>808</v>
      </c>
      <c r="D1003" s="78" t="s">
        <v>368</v>
      </c>
      <c r="E1003" s="243"/>
      <c r="F1003" s="77"/>
      <c r="G1003" s="247">
        <f>66.6*1.03</f>
        <v>68.597999999999999</v>
      </c>
      <c r="H1003" s="247">
        <v>73.597999999999999</v>
      </c>
      <c r="I1003" s="77"/>
      <c r="J1003" s="77" t="s">
        <v>382</v>
      </c>
      <c r="K1003" s="93">
        <v>45291</v>
      </c>
      <c r="L1003" s="77" t="s">
        <v>371</v>
      </c>
      <c r="M1003" s="77" t="s">
        <v>20</v>
      </c>
      <c r="N1003" s="94" t="s">
        <v>893</v>
      </c>
    </row>
    <row r="1004" spans="1:46" s="89" customFormat="1" ht="15.65" hidden="1" customHeight="1" x14ac:dyDescent="0.25">
      <c r="A1004" s="274" t="s">
        <v>807</v>
      </c>
      <c r="B1004" s="274"/>
      <c r="C1004" s="158" t="s">
        <v>808</v>
      </c>
      <c r="D1004" s="78" t="s">
        <v>368</v>
      </c>
      <c r="E1004" s="243"/>
      <c r="F1004" s="77"/>
      <c r="G1004" s="115">
        <v>68.930999999999983</v>
      </c>
      <c r="H1004" s="247">
        <v>73.930999999999997</v>
      </c>
      <c r="I1004" s="77"/>
      <c r="J1004" s="77" t="s">
        <v>370</v>
      </c>
      <c r="K1004" s="93">
        <v>45291</v>
      </c>
      <c r="L1004" s="77" t="s">
        <v>371</v>
      </c>
      <c r="M1004" s="77" t="s">
        <v>372</v>
      </c>
      <c r="N1004" s="94" t="s">
        <v>373</v>
      </c>
      <c r="O1004" s="71"/>
      <c r="P1004" s="71"/>
      <c r="Q1004" s="71"/>
      <c r="R1004" s="71"/>
      <c r="S1004" s="71"/>
      <c r="T1004" s="71"/>
      <c r="U1004" s="71"/>
      <c r="V1004" s="71"/>
      <c r="W1004" s="71"/>
      <c r="X1004" s="71"/>
      <c r="Y1004" s="71"/>
      <c r="Z1004" s="71"/>
      <c r="AA1004" s="71"/>
      <c r="AB1004" s="71"/>
      <c r="AC1004" s="71"/>
      <c r="AD1004" s="71"/>
      <c r="AE1004" s="71"/>
      <c r="AF1004" s="71"/>
      <c r="AG1004" s="71"/>
      <c r="AH1004" s="71"/>
      <c r="AI1004" s="71"/>
      <c r="AJ1004" s="71"/>
      <c r="AK1004" s="71"/>
      <c r="AL1004" s="71"/>
      <c r="AM1004" s="71"/>
      <c r="AN1004" s="71"/>
      <c r="AO1004" s="71"/>
      <c r="AP1004" s="71"/>
      <c r="AQ1004" s="71"/>
      <c r="AR1004" s="71"/>
      <c r="AS1004" s="71"/>
      <c r="AT1004" s="71"/>
    </row>
    <row r="1005" spans="1:46" s="89" customFormat="1" ht="15.65" hidden="1" customHeight="1" x14ac:dyDescent="0.35">
      <c r="A1005" s="264" t="s">
        <v>867</v>
      </c>
      <c r="B1005" s="264"/>
      <c r="C1005" s="242" t="s">
        <v>1044</v>
      </c>
      <c r="D1005" s="78" t="s">
        <v>368</v>
      </c>
      <c r="E1005" s="243"/>
      <c r="F1005" s="77"/>
      <c r="G1005" s="250" t="s">
        <v>1045</v>
      </c>
      <c r="H1005" s="250" t="s">
        <v>1046</v>
      </c>
      <c r="I1005" s="77"/>
      <c r="J1005" s="77" t="s">
        <v>437</v>
      </c>
      <c r="K1005" s="93" t="s">
        <v>902</v>
      </c>
      <c r="L1005" s="77" t="s">
        <v>903</v>
      </c>
      <c r="M1005" s="77" t="s">
        <v>372</v>
      </c>
      <c r="N1005" s="77" t="s">
        <v>443</v>
      </c>
      <c r="O1005" s="71"/>
      <c r="P1005" s="71"/>
      <c r="Q1005" s="71"/>
      <c r="R1005" s="71"/>
      <c r="S1005" s="71"/>
      <c r="T1005" s="71"/>
      <c r="U1005" s="71"/>
      <c r="V1005" s="71"/>
      <c r="W1005" s="71"/>
      <c r="X1005" s="71"/>
      <c r="Y1005" s="71"/>
      <c r="Z1005" s="71"/>
      <c r="AA1005" s="71"/>
      <c r="AB1005" s="71"/>
      <c r="AC1005" s="71"/>
      <c r="AD1005" s="71"/>
      <c r="AE1005" s="71"/>
      <c r="AF1005" s="71"/>
      <c r="AG1005" s="71"/>
      <c r="AH1005" s="71"/>
      <c r="AI1005" s="71"/>
      <c r="AJ1005" s="71"/>
      <c r="AK1005" s="71"/>
      <c r="AL1005" s="71"/>
      <c r="AM1005" s="71"/>
      <c r="AN1005" s="71"/>
      <c r="AO1005" s="71"/>
      <c r="AP1005" s="71"/>
      <c r="AQ1005" s="71"/>
      <c r="AR1005" s="71"/>
      <c r="AS1005" s="71"/>
      <c r="AT1005" s="71"/>
    </row>
    <row r="1006" spans="1:46" ht="15.65" hidden="1" customHeight="1" x14ac:dyDescent="0.25">
      <c r="A1006" s="281" t="s">
        <v>867</v>
      </c>
      <c r="B1006" s="281"/>
      <c r="C1006" s="162" t="s">
        <v>1047</v>
      </c>
      <c r="D1006" s="78" t="s">
        <v>368</v>
      </c>
      <c r="E1006" s="243"/>
      <c r="F1006" s="77"/>
      <c r="G1006" s="247">
        <v>51.74</v>
      </c>
      <c r="H1006" s="247">
        <v>56.74</v>
      </c>
      <c r="I1006" s="77"/>
      <c r="J1006" s="77" t="s">
        <v>382</v>
      </c>
      <c r="K1006" s="93">
        <v>45291</v>
      </c>
      <c r="L1006" s="77" t="s">
        <v>371</v>
      </c>
      <c r="M1006" s="77" t="s">
        <v>20</v>
      </c>
      <c r="N1006" s="94" t="s">
        <v>893</v>
      </c>
    </row>
    <row r="1007" spans="1:46" ht="15.65" hidden="1" customHeight="1" x14ac:dyDescent="0.25">
      <c r="A1007" s="281" t="s">
        <v>810</v>
      </c>
      <c r="B1007" s="281"/>
      <c r="C1007" s="162" t="s">
        <v>811</v>
      </c>
      <c r="D1007" s="78" t="s">
        <v>368</v>
      </c>
      <c r="E1007" s="243"/>
      <c r="F1007" s="77"/>
      <c r="G1007" s="247">
        <f>1.03*186.94</f>
        <v>192.54820000000001</v>
      </c>
      <c r="H1007" s="247">
        <v>197.54820000000001</v>
      </c>
      <c r="I1007" s="77"/>
      <c r="J1007" s="77" t="s">
        <v>382</v>
      </c>
      <c r="K1007" s="93">
        <v>45291</v>
      </c>
      <c r="L1007" s="77" t="s">
        <v>371</v>
      </c>
      <c r="M1007" s="77" t="s">
        <v>20</v>
      </c>
      <c r="N1007" s="94" t="s">
        <v>893</v>
      </c>
    </row>
    <row r="1008" spans="1:46" ht="15.65" customHeight="1" x14ac:dyDescent="0.25">
      <c r="A1008" s="281" t="s">
        <v>813</v>
      </c>
      <c r="B1008" s="281"/>
      <c r="C1008" s="162" t="s">
        <v>814</v>
      </c>
      <c r="D1008" s="78" t="s">
        <v>368</v>
      </c>
      <c r="E1008" s="243"/>
      <c r="F1008" s="77"/>
      <c r="G1008" s="247">
        <v>51.4</v>
      </c>
      <c r="H1008" s="247">
        <v>56.4</v>
      </c>
      <c r="I1008" s="97"/>
      <c r="J1008" s="77" t="s">
        <v>382</v>
      </c>
      <c r="K1008" s="93">
        <v>45291</v>
      </c>
      <c r="L1008" s="77" t="s">
        <v>371</v>
      </c>
      <c r="M1008" s="77" t="s">
        <v>20</v>
      </c>
      <c r="N1008" s="94" t="s">
        <v>893</v>
      </c>
    </row>
    <row r="1009" spans="1:46" ht="15.65" hidden="1" customHeight="1" x14ac:dyDescent="0.35">
      <c r="A1009" s="268" t="s">
        <v>817</v>
      </c>
      <c r="B1009" s="268"/>
      <c r="C1009" s="158" t="s">
        <v>1048</v>
      </c>
      <c r="D1009" s="78" t="s">
        <v>368</v>
      </c>
      <c r="E1009" s="243"/>
      <c r="F1009" s="77"/>
      <c r="G1009" s="252">
        <v>117.2</v>
      </c>
      <c r="H1009" s="252">
        <f>G1009+5</f>
        <v>122.2</v>
      </c>
      <c r="I1009" s="77"/>
      <c r="J1009" s="77" t="s">
        <v>437</v>
      </c>
      <c r="K1009" s="93">
        <v>45291</v>
      </c>
      <c r="L1009" s="77" t="s">
        <v>939</v>
      </c>
      <c r="M1009" s="77" t="s">
        <v>372</v>
      </c>
      <c r="N1009" s="94" t="s">
        <v>940</v>
      </c>
    </row>
    <row r="1010" spans="1:46" s="89" customFormat="1" ht="15.65" hidden="1" customHeight="1" x14ac:dyDescent="0.25">
      <c r="A1010" s="281" t="s">
        <v>817</v>
      </c>
      <c r="B1010" s="281"/>
      <c r="C1010" s="162" t="s">
        <v>818</v>
      </c>
      <c r="D1010" s="78" t="s">
        <v>368</v>
      </c>
      <c r="E1010" s="243"/>
      <c r="F1010" s="77"/>
      <c r="G1010" s="247">
        <f>1.03*127.5</f>
        <v>131.32500000000002</v>
      </c>
      <c r="H1010" s="247">
        <v>136.32500000000002</v>
      </c>
      <c r="I1010" s="77"/>
      <c r="J1010" s="77" t="s">
        <v>382</v>
      </c>
      <c r="K1010" s="93">
        <v>45291</v>
      </c>
      <c r="L1010" s="77" t="s">
        <v>371</v>
      </c>
      <c r="M1010" s="77" t="s">
        <v>20</v>
      </c>
      <c r="N1010" s="94" t="s">
        <v>893</v>
      </c>
      <c r="O1010" s="71"/>
      <c r="P1010" s="71"/>
      <c r="Q1010" s="71"/>
      <c r="R1010" s="71"/>
      <c r="S1010" s="71"/>
      <c r="T1010" s="71"/>
      <c r="U1010" s="71"/>
      <c r="V1010" s="71"/>
      <c r="W1010" s="71"/>
      <c r="X1010" s="71"/>
      <c r="Y1010" s="71"/>
      <c r="Z1010" s="71"/>
      <c r="AA1010" s="71"/>
      <c r="AB1010" s="71"/>
      <c r="AC1010" s="71"/>
      <c r="AD1010" s="71"/>
      <c r="AE1010" s="71"/>
      <c r="AF1010" s="71"/>
      <c r="AG1010" s="71"/>
      <c r="AH1010" s="71"/>
      <c r="AI1010" s="71"/>
      <c r="AJ1010" s="71"/>
      <c r="AK1010" s="71"/>
      <c r="AL1010" s="71"/>
      <c r="AM1010" s="71"/>
      <c r="AN1010" s="71"/>
      <c r="AO1010" s="71"/>
      <c r="AP1010" s="71"/>
      <c r="AQ1010" s="71"/>
      <c r="AR1010" s="71"/>
      <c r="AS1010" s="71"/>
      <c r="AT1010" s="71"/>
    </row>
    <row r="1011" spans="1:46" s="89" customFormat="1" ht="15.65" hidden="1" customHeight="1" x14ac:dyDescent="0.25">
      <c r="A1011" s="274" t="s">
        <v>817</v>
      </c>
      <c r="B1011" s="274"/>
      <c r="C1011" s="158" t="s">
        <v>818</v>
      </c>
      <c r="D1011" s="78" t="s">
        <v>368</v>
      </c>
      <c r="E1011" s="243"/>
      <c r="F1011" s="77"/>
      <c r="G1011" s="247">
        <f>1.03*127.5</f>
        <v>131.32500000000002</v>
      </c>
      <c r="H1011" s="247">
        <v>136.32500000000002</v>
      </c>
      <c r="I1011" s="77"/>
      <c r="J1011" s="77" t="s">
        <v>907</v>
      </c>
      <c r="K1011" s="93">
        <v>45291</v>
      </c>
      <c r="L1011" s="77" t="s">
        <v>371</v>
      </c>
      <c r="M1011" s="77" t="s">
        <v>372</v>
      </c>
      <c r="N1011" s="94" t="s">
        <v>373</v>
      </c>
      <c r="O1011" s="71"/>
      <c r="P1011" s="71"/>
      <c r="Q1011" s="71"/>
      <c r="R1011" s="71"/>
      <c r="S1011" s="71"/>
      <c r="T1011" s="71"/>
      <c r="U1011" s="71"/>
      <c r="V1011" s="71"/>
      <c r="W1011" s="71"/>
      <c r="X1011" s="71"/>
      <c r="Y1011" s="71"/>
      <c r="Z1011" s="71"/>
      <c r="AA1011" s="71"/>
      <c r="AB1011" s="71"/>
      <c r="AC1011" s="71"/>
      <c r="AD1011" s="71"/>
      <c r="AE1011" s="71"/>
      <c r="AF1011" s="71"/>
      <c r="AG1011" s="71"/>
      <c r="AH1011" s="71"/>
      <c r="AI1011" s="71"/>
      <c r="AJ1011" s="71"/>
      <c r="AK1011" s="71"/>
      <c r="AL1011" s="71"/>
      <c r="AM1011" s="71"/>
      <c r="AN1011" s="71"/>
      <c r="AO1011" s="71"/>
      <c r="AP1011" s="71"/>
      <c r="AQ1011" s="71"/>
      <c r="AR1011" s="71"/>
      <c r="AS1011" s="71"/>
      <c r="AT1011" s="71"/>
    </row>
    <row r="1012" spans="1:46" s="89" customFormat="1" ht="15.65" hidden="1" customHeight="1" x14ac:dyDescent="0.25">
      <c r="A1012" s="281" t="s">
        <v>817</v>
      </c>
      <c r="B1012" s="281"/>
      <c r="C1012" s="162" t="s">
        <v>818</v>
      </c>
      <c r="D1012" s="78" t="s">
        <v>368</v>
      </c>
      <c r="E1012" s="243"/>
      <c r="F1012" s="77"/>
      <c r="G1012" s="247">
        <f>1.03*127.5</f>
        <v>131.32500000000002</v>
      </c>
      <c r="H1012" s="247">
        <v>136.32500000000002</v>
      </c>
      <c r="I1012" s="77"/>
      <c r="J1012" s="77" t="s">
        <v>960</v>
      </c>
      <c r="K1012" s="93">
        <v>45291</v>
      </c>
      <c r="L1012" s="77" t="s">
        <v>371</v>
      </c>
      <c r="M1012" s="77" t="s">
        <v>372</v>
      </c>
      <c r="N1012" s="94" t="s">
        <v>893</v>
      </c>
      <c r="O1012" s="71"/>
      <c r="P1012" s="71"/>
      <c r="Q1012" s="71"/>
      <c r="R1012" s="71"/>
      <c r="S1012" s="71"/>
      <c r="T1012" s="71"/>
      <c r="U1012" s="71"/>
      <c r="V1012" s="71"/>
      <c r="W1012" s="71"/>
      <c r="X1012" s="71"/>
      <c r="Y1012" s="71"/>
      <c r="Z1012" s="71"/>
      <c r="AA1012" s="71"/>
      <c r="AB1012" s="71"/>
      <c r="AC1012" s="71"/>
      <c r="AD1012" s="71"/>
      <c r="AE1012" s="71"/>
      <c r="AF1012" s="71"/>
      <c r="AG1012" s="71"/>
      <c r="AH1012" s="71"/>
      <c r="AI1012" s="71"/>
      <c r="AJ1012" s="71"/>
      <c r="AK1012" s="71"/>
      <c r="AL1012" s="71"/>
      <c r="AM1012" s="71"/>
      <c r="AN1012" s="71"/>
      <c r="AO1012" s="71"/>
      <c r="AP1012" s="71"/>
      <c r="AQ1012" s="71"/>
      <c r="AR1012" s="71"/>
      <c r="AS1012" s="71"/>
      <c r="AT1012" s="71"/>
    </row>
    <row r="1013" spans="1:46" s="89" customFormat="1" ht="15.65" hidden="1" customHeight="1" x14ac:dyDescent="0.25">
      <c r="A1013" s="161" t="s">
        <v>817</v>
      </c>
      <c r="B1013" s="161"/>
      <c r="C1013" s="162" t="s">
        <v>818</v>
      </c>
      <c r="D1013" s="78" t="s">
        <v>368</v>
      </c>
      <c r="E1013" s="243"/>
      <c r="F1013" s="77"/>
      <c r="G1013" s="247">
        <f>1.03*127.5</f>
        <v>131.32500000000002</v>
      </c>
      <c r="H1013" s="247">
        <v>136.32500000000002</v>
      </c>
      <c r="I1013" s="77"/>
      <c r="J1013" s="77" t="s">
        <v>1049</v>
      </c>
      <c r="K1013" s="93">
        <v>45291</v>
      </c>
      <c r="L1013" s="77" t="s">
        <v>1050</v>
      </c>
      <c r="M1013" s="77"/>
      <c r="N1013" s="94"/>
      <c r="O1013" s="71"/>
      <c r="P1013" s="71"/>
      <c r="Q1013" s="71"/>
      <c r="R1013" s="71"/>
      <c r="S1013" s="71"/>
      <c r="T1013" s="71"/>
      <c r="U1013" s="71"/>
      <c r="V1013" s="71"/>
      <c r="W1013" s="71"/>
      <c r="X1013" s="71"/>
      <c r="Y1013" s="71"/>
      <c r="Z1013" s="71"/>
      <c r="AA1013" s="71"/>
      <c r="AB1013" s="71"/>
      <c r="AC1013" s="71"/>
      <c r="AD1013" s="71"/>
      <c r="AE1013" s="71"/>
      <c r="AF1013" s="71"/>
      <c r="AG1013" s="71"/>
      <c r="AH1013" s="71"/>
      <c r="AI1013" s="71"/>
      <c r="AJ1013" s="71"/>
      <c r="AK1013" s="71"/>
      <c r="AL1013" s="71"/>
      <c r="AM1013" s="71"/>
      <c r="AN1013" s="71"/>
      <c r="AO1013" s="71"/>
      <c r="AP1013" s="71"/>
      <c r="AQ1013" s="71"/>
      <c r="AR1013" s="71"/>
      <c r="AS1013" s="71"/>
      <c r="AT1013" s="71"/>
    </row>
    <row r="1014" spans="1:46" ht="15.65" hidden="1" customHeight="1" x14ac:dyDescent="0.35">
      <c r="A1014" s="450" t="s">
        <v>827</v>
      </c>
      <c r="B1014" s="450"/>
      <c r="C1014" s="158" t="s">
        <v>828</v>
      </c>
      <c r="D1014" s="78" t="s">
        <v>368</v>
      </c>
      <c r="E1014" s="243"/>
      <c r="F1014" s="114" t="s">
        <v>1051</v>
      </c>
      <c r="G1014" s="115">
        <v>50</v>
      </c>
      <c r="H1014" s="259" t="s">
        <v>513</v>
      </c>
      <c r="I1014" s="260">
        <v>50</v>
      </c>
      <c r="J1014" s="77" t="s">
        <v>1052</v>
      </c>
      <c r="K1014" s="93">
        <v>45107</v>
      </c>
      <c r="L1014" s="114" t="s">
        <v>1053</v>
      </c>
      <c r="M1014" s="77" t="s">
        <v>100</v>
      </c>
      <c r="N1014" s="261" t="s">
        <v>1054</v>
      </c>
    </row>
    <row r="1015" spans="1:46" ht="15.65" hidden="1" customHeight="1" x14ac:dyDescent="0.25">
      <c r="A1015" s="281" t="s">
        <v>1055</v>
      </c>
      <c r="B1015" s="281"/>
      <c r="C1015" s="162" t="s">
        <v>926</v>
      </c>
      <c r="D1015" s="78" t="s">
        <v>368</v>
      </c>
      <c r="E1015" s="243"/>
      <c r="F1015" s="77"/>
      <c r="G1015" s="247">
        <v>35</v>
      </c>
      <c r="H1015" s="247">
        <v>40</v>
      </c>
      <c r="I1015" s="77"/>
      <c r="J1015" s="77" t="s">
        <v>382</v>
      </c>
      <c r="K1015" s="93">
        <v>45291</v>
      </c>
      <c r="L1015" s="77" t="s">
        <v>371</v>
      </c>
      <c r="M1015" s="77" t="s">
        <v>20</v>
      </c>
      <c r="N1015" s="94" t="s">
        <v>893</v>
      </c>
    </row>
    <row r="1016" spans="1:46" s="89" customFormat="1" ht="15.65" hidden="1" customHeight="1" x14ac:dyDescent="0.35">
      <c r="A1016" s="264" t="s">
        <v>22</v>
      </c>
      <c r="B1016" s="264"/>
      <c r="C1016" s="242" t="s">
        <v>1056</v>
      </c>
      <c r="D1016" s="78" t="s">
        <v>368</v>
      </c>
      <c r="E1016" s="243"/>
      <c r="F1016" s="245"/>
      <c r="G1016" s="164">
        <v>36</v>
      </c>
      <c r="H1016" s="164">
        <v>41</v>
      </c>
      <c r="I1016" s="245"/>
      <c r="J1016" s="77" t="s">
        <v>410</v>
      </c>
      <c r="K1016" s="245">
        <v>45107</v>
      </c>
      <c r="L1016" s="77" t="s">
        <v>891</v>
      </c>
      <c r="M1016" s="77" t="s">
        <v>20</v>
      </c>
      <c r="N1016" s="94"/>
      <c r="O1016" s="71"/>
      <c r="P1016" s="71"/>
      <c r="Q1016" s="71"/>
      <c r="R1016" s="71"/>
      <c r="S1016" s="71"/>
      <c r="T1016" s="71"/>
      <c r="U1016" s="71"/>
      <c r="V1016" s="71"/>
      <c r="W1016" s="71"/>
      <c r="X1016" s="71"/>
      <c r="Y1016" s="71"/>
      <c r="Z1016" s="71"/>
      <c r="AA1016" s="71"/>
      <c r="AB1016" s="71"/>
      <c r="AC1016" s="71"/>
      <c r="AD1016" s="71"/>
      <c r="AE1016" s="71"/>
      <c r="AF1016" s="71"/>
      <c r="AG1016" s="71"/>
      <c r="AH1016" s="71"/>
      <c r="AI1016" s="71"/>
      <c r="AJ1016" s="71"/>
      <c r="AK1016" s="71"/>
      <c r="AL1016" s="71"/>
      <c r="AM1016" s="71"/>
      <c r="AN1016" s="71"/>
      <c r="AO1016" s="71"/>
      <c r="AP1016" s="71"/>
      <c r="AQ1016" s="71"/>
      <c r="AR1016" s="71"/>
      <c r="AS1016" s="71"/>
      <c r="AT1016" s="71"/>
    </row>
    <row r="1017" spans="1:46" s="89" customFormat="1" ht="15.65" hidden="1" customHeight="1" x14ac:dyDescent="0.35">
      <c r="A1017" s="268" t="s">
        <v>16</v>
      </c>
      <c r="B1017" s="268"/>
      <c r="C1017" s="158" t="s">
        <v>1057</v>
      </c>
      <c r="D1017" s="78" t="s">
        <v>368</v>
      </c>
      <c r="E1017" s="243"/>
      <c r="F1017" s="114" t="s">
        <v>1058</v>
      </c>
      <c r="G1017" s="115">
        <v>43</v>
      </c>
      <c r="H1017" s="92"/>
      <c r="I1017" s="160" t="s">
        <v>1059</v>
      </c>
      <c r="J1017" s="77" t="s">
        <v>410</v>
      </c>
      <c r="K1017" s="93">
        <v>45291</v>
      </c>
      <c r="L1017" s="77" t="s">
        <v>1060</v>
      </c>
      <c r="M1017" s="77" t="s">
        <v>20</v>
      </c>
      <c r="N1017" s="94"/>
      <c r="O1017" s="71"/>
      <c r="P1017" s="71"/>
      <c r="Q1017" s="71"/>
      <c r="R1017" s="71"/>
      <c r="S1017" s="71"/>
      <c r="T1017" s="71"/>
      <c r="U1017" s="71"/>
      <c r="V1017" s="71"/>
      <c r="W1017" s="71"/>
      <c r="X1017" s="71"/>
      <c r="Y1017" s="71"/>
      <c r="Z1017" s="71"/>
      <c r="AA1017" s="71"/>
      <c r="AB1017" s="71"/>
      <c r="AC1017" s="71"/>
      <c r="AD1017" s="71"/>
      <c r="AE1017" s="71"/>
      <c r="AF1017" s="71"/>
      <c r="AG1017" s="71"/>
      <c r="AH1017" s="71"/>
      <c r="AI1017" s="71"/>
      <c r="AJ1017" s="71"/>
      <c r="AK1017" s="71"/>
      <c r="AL1017" s="71"/>
      <c r="AM1017" s="71"/>
      <c r="AN1017" s="71"/>
      <c r="AO1017" s="71"/>
      <c r="AP1017" s="71"/>
      <c r="AQ1017" s="71"/>
      <c r="AR1017" s="71"/>
      <c r="AS1017" s="71"/>
      <c r="AT1017" s="71"/>
    </row>
    <row r="1018" spans="1:46" ht="15.65" hidden="1" customHeight="1" x14ac:dyDescent="0.25">
      <c r="A1018" s="281" t="s">
        <v>829</v>
      </c>
      <c r="B1018" s="281"/>
      <c r="C1018" s="162" t="s">
        <v>830</v>
      </c>
      <c r="D1018" s="78" t="s">
        <v>368</v>
      </c>
      <c r="E1018" s="243"/>
      <c r="F1018" s="77"/>
      <c r="G1018" s="247">
        <f>60.6*1.03</f>
        <v>62.418000000000006</v>
      </c>
      <c r="H1018" s="247">
        <v>67.418000000000006</v>
      </c>
      <c r="I1018" s="77"/>
      <c r="J1018" s="77" t="s">
        <v>382</v>
      </c>
      <c r="K1018" s="93">
        <v>45291</v>
      </c>
      <c r="L1018" s="77" t="s">
        <v>371</v>
      </c>
      <c r="M1018" s="77" t="s">
        <v>20</v>
      </c>
      <c r="N1018" s="94" t="s">
        <v>893</v>
      </c>
    </row>
    <row r="1019" spans="1:46" ht="15.65" hidden="1" customHeight="1" x14ac:dyDescent="0.35">
      <c r="A1019" s="268" t="s">
        <v>836</v>
      </c>
      <c r="B1019" s="268"/>
      <c r="C1019" s="158" t="s">
        <v>1061</v>
      </c>
      <c r="D1019" s="78" t="s">
        <v>368</v>
      </c>
      <c r="E1019" s="168"/>
      <c r="F1019" s="77"/>
      <c r="G1019" s="252">
        <v>51.05</v>
      </c>
      <c r="H1019" s="252">
        <v>56.05</v>
      </c>
      <c r="I1019" s="77"/>
      <c r="J1019" s="77" t="s">
        <v>918</v>
      </c>
      <c r="K1019" s="93">
        <v>45291</v>
      </c>
      <c r="L1019" s="77" t="s">
        <v>992</v>
      </c>
      <c r="M1019" s="77" t="s">
        <v>20</v>
      </c>
      <c r="N1019" s="94" t="s">
        <v>940</v>
      </c>
    </row>
    <row r="1020" spans="1:46" ht="15.65" hidden="1" customHeight="1" x14ac:dyDescent="0.25">
      <c r="A1020" s="281" t="s">
        <v>839</v>
      </c>
      <c r="B1020" s="281"/>
      <c r="C1020" s="162" t="s">
        <v>840</v>
      </c>
      <c r="D1020" s="78" t="s">
        <v>368</v>
      </c>
      <c r="E1020" s="243"/>
      <c r="F1020" s="77"/>
      <c r="G1020" s="247">
        <f>1.03*39.8</f>
        <v>40.994</v>
      </c>
      <c r="H1020" s="247">
        <v>45.994</v>
      </c>
      <c r="I1020" s="77"/>
      <c r="J1020" s="77" t="s">
        <v>382</v>
      </c>
      <c r="K1020" s="93">
        <v>45291</v>
      </c>
      <c r="L1020" s="77" t="s">
        <v>371</v>
      </c>
      <c r="M1020" s="77" t="s">
        <v>20</v>
      </c>
      <c r="N1020" s="94" t="s">
        <v>893</v>
      </c>
    </row>
    <row r="1021" spans="1:46" s="89" customFormat="1" ht="15.65" hidden="1" customHeight="1" x14ac:dyDescent="0.25">
      <c r="A1021" s="281" t="s">
        <v>844</v>
      </c>
      <c r="B1021" s="281"/>
      <c r="C1021" s="162" t="s">
        <v>845</v>
      </c>
      <c r="D1021" s="78" t="s">
        <v>368</v>
      </c>
      <c r="E1021" s="243"/>
      <c r="F1021" s="77"/>
      <c r="G1021" s="247">
        <f>1.03*21.7</f>
        <v>22.350999999999999</v>
      </c>
      <c r="H1021" s="247">
        <v>27.350999999999999</v>
      </c>
      <c r="I1021" s="77"/>
      <c r="J1021" s="77" t="s">
        <v>382</v>
      </c>
      <c r="K1021" s="93">
        <v>45291</v>
      </c>
      <c r="L1021" s="77" t="s">
        <v>371</v>
      </c>
      <c r="M1021" s="77" t="s">
        <v>20</v>
      </c>
      <c r="N1021" s="94" t="s">
        <v>893</v>
      </c>
      <c r="O1021" s="71"/>
      <c r="P1021" s="71"/>
      <c r="Q1021" s="71"/>
      <c r="R1021" s="71"/>
      <c r="S1021" s="71"/>
      <c r="T1021" s="71"/>
      <c r="U1021" s="71"/>
      <c r="V1021" s="71"/>
      <c r="W1021" s="71"/>
      <c r="X1021" s="71"/>
      <c r="Y1021" s="71"/>
      <c r="Z1021" s="71"/>
      <c r="AA1021" s="71"/>
      <c r="AB1021" s="71"/>
      <c r="AC1021" s="71"/>
      <c r="AD1021" s="71"/>
      <c r="AE1021" s="71"/>
      <c r="AF1021" s="71"/>
      <c r="AG1021" s="71"/>
      <c r="AH1021" s="71"/>
      <c r="AI1021" s="71"/>
      <c r="AJ1021" s="71"/>
      <c r="AK1021" s="71"/>
      <c r="AL1021" s="71"/>
      <c r="AM1021" s="71"/>
      <c r="AN1021" s="71"/>
      <c r="AO1021" s="71"/>
      <c r="AP1021" s="71"/>
      <c r="AQ1021" s="71"/>
      <c r="AR1021" s="71"/>
      <c r="AS1021" s="71"/>
      <c r="AT1021" s="71"/>
    </row>
    <row r="1022" spans="1:46" s="89" customFormat="1" ht="15.65" hidden="1" customHeight="1" x14ac:dyDescent="0.35">
      <c r="A1022" s="268" t="s">
        <v>1062</v>
      </c>
      <c r="B1022" s="268"/>
      <c r="C1022" s="158" t="s">
        <v>1063</v>
      </c>
      <c r="D1022" s="78" t="s">
        <v>368</v>
      </c>
      <c r="E1022" s="243"/>
      <c r="F1022" s="77"/>
      <c r="G1022" s="115">
        <v>26</v>
      </c>
      <c r="H1022" s="115">
        <v>31</v>
      </c>
      <c r="I1022" s="77"/>
      <c r="J1022" s="77" t="s">
        <v>382</v>
      </c>
      <c r="K1022" s="93">
        <v>45291</v>
      </c>
      <c r="L1022" s="77" t="s">
        <v>1064</v>
      </c>
      <c r="M1022" s="77" t="s">
        <v>20</v>
      </c>
      <c r="N1022" s="94" t="s">
        <v>1065</v>
      </c>
      <c r="O1022" s="71"/>
      <c r="P1022" s="71"/>
      <c r="Q1022" s="71"/>
      <c r="R1022" s="71"/>
      <c r="S1022" s="71"/>
      <c r="T1022" s="71"/>
      <c r="U1022" s="71"/>
      <c r="V1022" s="71"/>
      <c r="W1022" s="71"/>
      <c r="X1022" s="71"/>
      <c r="Y1022" s="71"/>
      <c r="Z1022" s="71"/>
      <c r="AA1022" s="71"/>
      <c r="AB1022" s="71"/>
      <c r="AC1022" s="71"/>
      <c r="AD1022" s="71"/>
      <c r="AE1022" s="71"/>
      <c r="AF1022" s="71"/>
      <c r="AG1022" s="71"/>
      <c r="AH1022" s="71"/>
      <c r="AI1022" s="71"/>
      <c r="AJ1022" s="71"/>
      <c r="AK1022" s="71"/>
      <c r="AL1022" s="71"/>
      <c r="AM1022" s="71"/>
      <c r="AN1022" s="71"/>
      <c r="AO1022" s="71"/>
      <c r="AP1022" s="71"/>
      <c r="AQ1022" s="71"/>
      <c r="AR1022" s="71"/>
      <c r="AS1022" s="71"/>
      <c r="AT1022" s="71"/>
    </row>
    <row r="1023" spans="1:46" s="89" customFormat="1" ht="15.65" hidden="1" customHeight="1" x14ac:dyDescent="0.35">
      <c r="A1023" s="268" t="s">
        <v>1066</v>
      </c>
      <c r="B1023" s="268"/>
      <c r="C1023" s="262" t="s">
        <v>1067</v>
      </c>
      <c r="D1023" s="78" t="s">
        <v>368</v>
      </c>
      <c r="E1023" s="243"/>
      <c r="F1023" s="94"/>
      <c r="G1023" s="92">
        <v>59.95</v>
      </c>
      <c r="H1023" s="92">
        <v>64.95</v>
      </c>
      <c r="I1023" s="77"/>
      <c r="J1023" s="77" t="s">
        <v>382</v>
      </c>
      <c r="K1023" s="93">
        <v>45291</v>
      </c>
      <c r="L1023" s="77" t="s">
        <v>1064</v>
      </c>
      <c r="M1023" s="77" t="s">
        <v>20</v>
      </c>
      <c r="N1023" s="77" t="s">
        <v>1065</v>
      </c>
      <c r="O1023" s="71"/>
      <c r="P1023" s="71"/>
      <c r="Q1023" s="71"/>
      <c r="R1023" s="71"/>
      <c r="S1023" s="71"/>
      <c r="T1023" s="71"/>
      <c r="U1023" s="71"/>
      <c r="V1023" s="71"/>
      <c r="W1023" s="71"/>
      <c r="X1023" s="71"/>
      <c r="Y1023" s="71"/>
      <c r="Z1023" s="71"/>
      <c r="AA1023" s="71"/>
      <c r="AB1023" s="71"/>
      <c r="AC1023" s="71"/>
      <c r="AD1023" s="71"/>
      <c r="AE1023" s="71"/>
      <c r="AF1023" s="71"/>
      <c r="AG1023" s="71"/>
      <c r="AH1023" s="71"/>
      <c r="AI1023" s="71"/>
      <c r="AJ1023" s="71"/>
      <c r="AK1023" s="71"/>
      <c r="AL1023" s="71"/>
      <c r="AM1023" s="71"/>
      <c r="AN1023" s="71"/>
      <c r="AO1023" s="71"/>
      <c r="AP1023" s="71"/>
      <c r="AQ1023" s="71"/>
      <c r="AR1023" s="71"/>
      <c r="AS1023" s="71"/>
      <c r="AT1023" s="71"/>
    </row>
    <row r="1024" spans="1:46" s="89" customFormat="1" ht="15.65" hidden="1" customHeight="1" x14ac:dyDescent="0.35">
      <c r="A1024" s="268" t="s">
        <v>1068</v>
      </c>
      <c r="B1024" s="268"/>
      <c r="C1024" s="262" t="s">
        <v>1069</v>
      </c>
      <c r="D1024" s="78" t="s">
        <v>368</v>
      </c>
      <c r="E1024" s="243"/>
      <c r="F1024" s="94"/>
      <c r="G1024" s="92">
        <v>42.25</v>
      </c>
      <c r="H1024" s="92">
        <v>47.25</v>
      </c>
      <c r="I1024" s="77"/>
      <c r="J1024" s="77" t="s">
        <v>382</v>
      </c>
      <c r="K1024" s="93">
        <v>45291</v>
      </c>
      <c r="L1024" s="77" t="s">
        <v>1064</v>
      </c>
      <c r="M1024" s="77" t="s">
        <v>20</v>
      </c>
      <c r="N1024" s="77" t="s">
        <v>1065</v>
      </c>
      <c r="O1024" s="71"/>
      <c r="P1024" s="71"/>
      <c r="Q1024" s="71"/>
      <c r="R1024" s="71"/>
      <c r="S1024" s="71"/>
      <c r="T1024" s="71"/>
      <c r="U1024" s="71"/>
      <c r="V1024" s="71"/>
      <c r="W1024" s="71"/>
      <c r="X1024" s="71"/>
      <c r="Y1024" s="71"/>
      <c r="Z1024" s="71"/>
      <c r="AA1024" s="71"/>
      <c r="AB1024" s="71"/>
      <c r="AC1024" s="71"/>
      <c r="AD1024" s="71"/>
      <c r="AE1024" s="71"/>
      <c r="AF1024" s="71"/>
      <c r="AG1024" s="71"/>
      <c r="AH1024" s="71"/>
      <c r="AI1024" s="71"/>
      <c r="AJ1024" s="71"/>
      <c r="AK1024" s="71"/>
      <c r="AL1024" s="71"/>
      <c r="AM1024" s="71"/>
      <c r="AN1024" s="71"/>
      <c r="AO1024" s="71"/>
      <c r="AP1024" s="71"/>
      <c r="AQ1024" s="71"/>
      <c r="AR1024" s="71"/>
      <c r="AS1024" s="71"/>
      <c r="AT1024" s="71"/>
    </row>
    <row r="1025" spans="1:46" s="89" customFormat="1" ht="15.65" hidden="1" customHeight="1" x14ac:dyDescent="0.35">
      <c r="A1025" s="268" t="s">
        <v>1070</v>
      </c>
      <c r="B1025" s="268"/>
      <c r="C1025" s="158" t="s">
        <v>1071</v>
      </c>
      <c r="D1025" s="78" t="s">
        <v>368</v>
      </c>
      <c r="E1025" s="243"/>
      <c r="F1025" s="77"/>
      <c r="G1025" s="115">
        <v>55</v>
      </c>
      <c r="H1025" s="115">
        <v>60</v>
      </c>
      <c r="I1025" s="77"/>
      <c r="J1025" s="77" t="s">
        <v>382</v>
      </c>
      <c r="K1025" s="93">
        <v>45291</v>
      </c>
      <c r="L1025" s="77" t="s">
        <v>1064</v>
      </c>
      <c r="M1025" s="77" t="s">
        <v>20</v>
      </c>
      <c r="N1025" s="94" t="s">
        <v>1072</v>
      </c>
      <c r="O1025" s="71"/>
      <c r="P1025" s="71"/>
      <c r="Q1025" s="71"/>
      <c r="R1025" s="71"/>
      <c r="S1025" s="71"/>
      <c r="T1025" s="71"/>
      <c r="U1025" s="71"/>
      <c r="V1025" s="71"/>
      <c r="W1025" s="71"/>
      <c r="X1025" s="71"/>
      <c r="Y1025" s="71"/>
      <c r="Z1025" s="71"/>
      <c r="AA1025" s="71"/>
      <c r="AB1025" s="71"/>
      <c r="AC1025" s="71"/>
      <c r="AD1025" s="71"/>
      <c r="AE1025" s="71"/>
      <c r="AF1025" s="71"/>
      <c r="AG1025" s="71"/>
      <c r="AH1025" s="71"/>
      <c r="AI1025" s="71"/>
      <c r="AJ1025" s="71"/>
      <c r="AK1025" s="71"/>
      <c r="AL1025" s="71"/>
      <c r="AM1025" s="71"/>
      <c r="AN1025" s="71"/>
      <c r="AO1025" s="71"/>
      <c r="AP1025" s="71"/>
      <c r="AQ1025" s="71"/>
      <c r="AR1025" s="71"/>
      <c r="AS1025" s="71"/>
      <c r="AT1025" s="71"/>
    </row>
    <row r="1026" spans="1:46" ht="15.65" hidden="1" customHeight="1" x14ac:dyDescent="0.35">
      <c r="A1026" s="268" t="s">
        <v>1073</v>
      </c>
      <c r="B1026" s="268"/>
      <c r="C1026" s="158" t="s">
        <v>1074</v>
      </c>
      <c r="D1026" s="78" t="s">
        <v>368</v>
      </c>
      <c r="E1026" s="243"/>
      <c r="F1026" s="77"/>
      <c r="G1026" s="115">
        <v>145</v>
      </c>
      <c r="H1026" s="115">
        <v>150</v>
      </c>
      <c r="I1026" s="77"/>
      <c r="J1026" s="77" t="s">
        <v>382</v>
      </c>
      <c r="K1026" s="93">
        <v>45291</v>
      </c>
      <c r="L1026" s="77" t="s">
        <v>1075</v>
      </c>
      <c r="M1026" s="77" t="s">
        <v>20</v>
      </c>
      <c r="N1026" s="94" t="s">
        <v>1076</v>
      </c>
    </row>
    <row r="1027" spans="1:46" ht="15.65" hidden="1" customHeight="1" x14ac:dyDescent="0.25">
      <c r="A1027" s="286" t="s">
        <v>621</v>
      </c>
      <c r="B1027" s="286"/>
      <c r="C1027" s="162" t="s">
        <v>622</v>
      </c>
      <c r="D1027" s="78" t="s">
        <v>368</v>
      </c>
      <c r="E1027" s="243"/>
      <c r="F1027" s="77"/>
      <c r="G1027" s="92">
        <v>33.200000000000003</v>
      </c>
      <c r="H1027" s="92">
        <f>G1027+5</f>
        <v>38.200000000000003</v>
      </c>
      <c r="I1027" s="77"/>
      <c r="J1027" s="77" t="s">
        <v>1065</v>
      </c>
      <c r="K1027" s="93">
        <v>45291</v>
      </c>
      <c r="L1027" s="77" t="s">
        <v>1077</v>
      </c>
      <c r="M1027" s="77" t="s">
        <v>401</v>
      </c>
      <c r="N1027" s="94" t="s">
        <v>1078</v>
      </c>
    </row>
    <row r="1028" spans="1:46" ht="15.65" hidden="1" customHeight="1" x14ac:dyDescent="0.25">
      <c r="A1028" s="286" t="s">
        <v>610</v>
      </c>
      <c r="B1028" s="286"/>
      <c r="C1028" s="162" t="s">
        <v>611</v>
      </c>
      <c r="D1028" s="78" t="s">
        <v>368</v>
      </c>
      <c r="E1028" s="168"/>
      <c r="F1028" s="263"/>
      <c r="G1028" s="115">
        <v>44</v>
      </c>
      <c r="H1028" s="259">
        <v>49</v>
      </c>
      <c r="I1028" s="77"/>
      <c r="J1028" s="77" t="s">
        <v>1079</v>
      </c>
      <c r="K1028" s="94">
        <v>45291</v>
      </c>
      <c r="L1028" s="77"/>
      <c r="M1028" s="77" t="s">
        <v>401</v>
      </c>
      <c r="N1028" s="94" t="s">
        <v>1078</v>
      </c>
    </row>
    <row r="1029" spans="1:46" ht="15.65" hidden="1" customHeight="1" x14ac:dyDescent="0.35">
      <c r="A1029" s="264" t="s">
        <v>759</v>
      </c>
      <c r="B1029" s="264"/>
      <c r="C1029" s="166" t="s">
        <v>760</v>
      </c>
      <c r="D1029" s="78" t="s">
        <v>368</v>
      </c>
      <c r="E1029" s="243"/>
      <c r="F1029" s="77"/>
      <c r="G1029" s="250">
        <v>37.950000000000003</v>
      </c>
      <c r="H1029" s="250">
        <v>42.95</v>
      </c>
      <c r="I1029" s="77"/>
      <c r="J1029" s="77" t="s">
        <v>382</v>
      </c>
      <c r="K1029" s="245">
        <v>45291</v>
      </c>
      <c r="L1029" s="77" t="s">
        <v>1080</v>
      </c>
      <c r="M1029" s="77" t="s">
        <v>20</v>
      </c>
      <c r="N1029" s="94"/>
    </row>
    <row r="1030" spans="1:46" ht="15.65" hidden="1" customHeight="1" x14ac:dyDescent="0.35">
      <c r="A1030" s="264">
        <v>48.497033999999999</v>
      </c>
      <c r="B1030" s="264"/>
      <c r="C1030" s="166" t="s">
        <v>1081</v>
      </c>
      <c r="D1030" s="78" t="s">
        <v>368</v>
      </c>
      <c r="E1030" s="243"/>
      <c r="F1030" s="77"/>
      <c r="G1030" s="250">
        <v>66.05</v>
      </c>
      <c r="H1030" s="250">
        <v>71.05</v>
      </c>
      <c r="I1030" s="77"/>
      <c r="J1030" s="77" t="s">
        <v>382</v>
      </c>
      <c r="K1030" s="245">
        <v>45291</v>
      </c>
      <c r="L1030" s="77" t="s">
        <v>1080</v>
      </c>
      <c r="M1030" s="77" t="s">
        <v>20</v>
      </c>
      <c r="N1030" s="94"/>
    </row>
    <row r="1031" spans="1:46" ht="15.65" hidden="1" customHeight="1" x14ac:dyDescent="0.35">
      <c r="A1031" s="265" t="s">
        <v>150</v>
      </c>
      <c r="B1031" s="265"/>
      <c r="C1031" s="266" t="s">
        <v>448</v>
      </c>
      <c r="D1031" s="168" t="s">
        <v>368</v>
      </c>
      <c r="E1031" s="243"/>
      <c r="F1031" s="77"/>
      <c r="G1031" s="106">
        <v>33.549999999999997</v>
      </c>
      <c r="H1031" s="106">
        <v>38.549999999999997</v>
      </c>
      <c r="I1031" s="99"/>
      <c r="J1031" s="99" t="s">
        <v>382</v>
      </c>
      <c r="K1031" s="267">
        <v>45291</v>
      </c>
      <c r="L1031" s="99" t="s">
        <v>1082</v>
      </c>
      <c r="M1031" s="99" t="s">
        <v>20</v>
      </c>
      <c r="N1031" s="108" t="s">
        <v>1083</v>
      </c>
    </row>
    <row r="1032" spans="1:46" ht="15.65" hidden="1" customHeight="1" x14ac:dyDescent="0.35">
      <c r="A1032" s="268" t="s">
        <v>755</v>
      </c>
      <c r="B1032" s="268"/>
      <c r="C1032" s="158" t="s">
        <v>756</v>
      </c>
      <c r="D1032" s="78" t="s">
        <v>368</v>
      </c>
      <c r="E1032" s="243"/>
      <c r="F1032" s="77"/>
      <c r="G1032" s="92">
        <v>110.5</v>
      </c>
      <c r="H1032" s="92">
        <v>115.5</v>
      </c>
      <c r="I1032" s="269"/>
      <c r="J1032" s="77" t="s">
        <v>382</v>
      </c>
      <c r="K1032" s="245">
        <v>45291</v>
      </c>
      <c r="L1032" s="77" t="s">
        <v>1082</v>
      </c>
      <c r="M1032" s="77" t="s">
        <v>20</v>
      </c>
      <c r="N1032" s="94" t="s">
        <v>1084</v>
      </c>
    </row>
    <row r="1033" spans="1:46" ht="15.65" hidden="1" customHeight="1" x14ac:dyDescent="0.35">
      <c r="A1033" s="268" t="s">
        <v>594</v>
      </c>
      <c r="B1033" s="268"/>
      <c r="C1033" s="158" t="s">
        <v>595</v>
      </c>
      <c r="D1033" s="78" t="s">
        <v>368</v>
      </c>
      <c r="E1033" s="243"/>
      <c r="F1033" s="77"/>
      <c r="G1033" s="92">
        <v>107.25</v>
      </c>
      <c r="H1033" s="92">
        <v>112.25</v>
      </c>
      <c r="I1033" s="77"/>
      <c r="J1033" s="77" t="s">
        <v>382</v>
      </c>
      <c r="K1033" s="245">
        <v>45291</v>
      </c>
      <c r="L1033" s="77" t="s">
        <v>1082</v>
      </c>
      <c r="M1033" s="77" t="s">
        <v>20</v>
      </c>
      <c r="N1033" s="94" t="s">
        <v>1085</v>
      </c>
    </row>
    <row r="1034" spans="1:46" ht="15.65" hidden="1" customHeight="1" x14ac:dyDescent="0.35">
      <c r="A1034" s="264">
        <v>31.56</v>
      </c>
      <c r="B1034" s="264"/>
      <c r="C1034" s="163" t="s">
        <v>695</v>
      </c>
      <c r="D1034" s="78" t="s">
        <v>368</v>
      </c>
      <c r="E1034" s="150"/>
      <c r="F1034" s="77"/>
      <c r="G1034" s="250">
        <v>20.65</v>
      </c>
      <c r="H1034" s="250">
        <v>25.56</v>
      </c>
      <c r="I1034" s="77"/>
      <c r="J1034" s="271" t="s">
        <v>1086</v>
      </c>
      <c r="K1034" s="245">
        <v>45199</v>
      </c>
      <c r="L1034" s="163" t="s">
        <v>1087</v>
      </c>
      <c r="M1034" s="77" t="s">
        <v>20</v>
      </c>
      <c r="N1034" s="94" t="s">
        <v>1088</v>
      </c>
    </row>
    <row r="1035" spans="1:46" ht="15.65" hidden="1" customHeight="1" x14ac:dyDescent="0.35">
      <c r="A1035" s="268" t="s">
        <v>1089</v>
      </c>
      <c r="B1035" s="268"/>
      <c r="C1035" s="158" t="s">
        <v>1090</v>
      </c>
      <c r="D1035" s="78" t="s">
        <v>368</v>
      </c>
      <c r="E1035" s="243"/>
      <c r="F1035" s="77"/>
      <c r="G1035" s="115">
        <v>61</v>
      </c>
      <c r="H1035" s="115">
        <v>66</v>
      </c>
      <c r="I1035" s="77"/>
      <c r="J1035" s="77" t="s">
        <v>1091</v>
      </c>
      <c r="K1035" s="93">
        <v>45138</v>
      </c>
      <c r="L1035" s="77" t="s">
        <v>1092</v>
      </c>
      <c r="M1035" s="77" t="s">
        <v>104</v>
      </c>
      <c r="N1035" s="94"/>
    </row>
    <row r="1036" spans="1:46" ht="15.65" hidden="1" customHeight="1" x14ac:dyDescent="0.35">
      <c r="A1036" s="268" t="s">
        <v>725</v>
      </c>
      <c r="B1036" s="268"/>
      <c r="C1036" s="158" t="s">
        <v>1093</v>
      </c>
      <c r="D1036" s="78" t="s">
        <v>368</v>
      </c>
      <c r="E1036" s="243"/>
      <c r="F1036" s="77"/>
      <c r="G1036" s="115">
        <v>43</v>
      </c>
      <c r="H1036" s="115">
        <v>48</v>
      </c>
      <c r="I1036" s="77"/>
      <c r="J1036" s="77" t="s">
        <v>1094</v>
      </c>
      <c r="K1036" s="93">
        <v>45138</v>
      </c>
      <c r="L1036" s="77" t="s">
        <v>1092</v>
      </c>
      <c r="M1036" s="77" t="s">
        <v>104</v>
      </c>
      <c r="N1036" s="94"/>
    </row>
    <row r="1037" spans="1:46" ht="15.65" hidden="1" customHeight="1" x14ac:dyDescent="0.35">
      <c r="A1037" s="268" t="s">
        <v>1095</v>
      </c>
      <c r="B1037" s="268"/>
      <c r="C1037" s="158" t="s">
        <v>765</v>
      </c>
      <c r="D1037" s="78" t="s">
        <v>368</v>
      </c>
      <c r="E1037" s="243"/>
      <c r="F1037" s="77"/>
      <c r="G1037" s="115">
        <v>250</v>
      </c>
      <c r="H1037" s="115">
        <v>255</v>
      </c>
      <c r="I1037" s="77"/>
      <c r="J1037" s="77" t="s">
        <v>1091</v>
      </c>
      <c r="K1037" s="93">
        <v>45138</v>
      </c>
      <c r="L1037" s="77" t="s">
        <v>1092</v>
      </c>
      <c r="M1037" s="77" t="s">
        <v>104</v>
      </c>
      <c r="N1037" s="94"/>
    </row>
    <row r="1038" spans="1:46" ht="15.65" hidden="1" customHeight="1" x14ac:dyDescent="0.35">
      <c r="A1038" s="268" t="s">
        <v>1096</v>
      </c>
      <c r="B1038" s="268"/>
      <c r="C1038" s="158" t="s">
        <v>632</v>
      </c>
      <c r="D1038" s="78" t="s">
        <v>368</v>
      </c>
      <c r="E1038" s="270"/>
      <c r="F1038" s="77"/>
      <c r="G1038" s="92">
        <v>35.049999999999997</v>
      </c>
      <c r="H1038" s="92">
        <v>40.049999999999997</v>
      </c>
      <c r="I1038" s="77"/>
      <c r="J1038" s="77" t="s">
        <v>1097</v>
      </c>
      <c r="K1038" s="93">
        <v>45291</v>
      </c>
      <c r="L1038" s="77" t="s">
        <v>1098</v>
      </c>
      <c r="M1038" s="77" t="s">
        <v>104</v>
      </c>
      <c r="N1038" s="94"/>
    </row>
    <row r="1039" spans="1:46" s="89" customFormat="1" ht="15.65" hidden="1" customHeight="1" x14ac:dyDescent="0.35">
      <c r="A1039" s="264" t="s">
        <v>142</v>
      </c>
      <c r="B1039" s="264"/>
      <c r="C1039" s="158" t="s">
        <v>1099</v>
      </c>
      <c r="D1039" s="78" t="s">
        <v>368</v>
      </c>
      <c r="E1039" s="270"/>
      <c r="F1039" s="77"/>
      <c r="G1039" s="164">
        <v>30</v>
      </c>
      <c r="H1039" s="164">
        <f>G1039+5</f>
        <v>35</v>
      </c>
      <c r="I1039" s="77"/>
      <c r="J1039" s="77" t="s">
        <v>1100</v>
      </c>
      <c r="K1039" s="93">
        <v>45291</v>
      </c>
      <c r="L1039" s="77" t="s">
        <v>1092</v>
      </c>
      <c r="M1039" s="77" t="s">
        <v>104</v>
      </c>
      <c r="N1039" s="272" t="s">
        <v>1101</v>
      </c>
      <c r="O1039" s="71"/>
      <c r="P1039" s="71"/>
      <c r="Q1039" s="71"/>
      <c r="R1039" s="71"/>
      <c r="S1039" s="71"/>
      <c r="T1039" s="71"/>
      <c r="U1039" s="71"/>
      <c r="V1039" s="71"/>
      <c r="W1039" s="71"/>
      <c r="X1039" s="71"/>
      <c r="Y1039" s="71"/>
      <c r="Z1039" s="71"/>
      <c r="AA1039" s="71"/>
      <c r="AB1039" s="71"/>
      <c r="AC1039" s="71"/>
      <c r="AD1039" s="71"/>
      <c r="AE1039" s="71"/>
      <c r="AF1039" s="71"/>
      <c r="AG1039" s="71"/>
      <c r="AH1039" s="71"/>
      <c r="AI1039" s="71"/>
      <c r="AJ1039" s="71"/>
      <c r="AK1039" s="71"/>
      <c r="AL1039" s="71"/>
      <c r="AM1039" s="71"/>
      <c r="AN1039" s="71"/>
      <c r="AO1039" s="71"/>
      <c r="AP1039" s="71"/>
      <c r="AQ1039" s="71"/>
      <c r="AR1039" s="71"/>
      <c r="AS1039" s="71"/>
      <c r="AT1039" s="71"/>
    </row>
    <row r="1040" spans="1:46" ht="15.65" hidden="1" customHeight="1" x14ac:dyDescent="0.25">
      <c r="A1040" s="273" t="s">
        <v>142</v>
      </c>
      <c r="B1040" s="273"/>
      <c r="C1040" s="158" t="s">
        <v>448</v>
      </c>
      <c r="D1040" s="78" t="s">
        <v>368</v>
      </c>
      <c r="E1040" s="243"/>
      <c r="F1040" s="77"/>
      <c r="G1040" s="115">
        <v>29.9</v>
      </c>
      <c r="H1040" s="115">
        <v>34.9</v>
      </c>
      <c r="I1040" s="77"/>
      <c r="J1040" s="77" t="s">
        <v>907</v>
      </c>
      <c r="K1040" s="93">
        <v>45291</v>
      </c>
      <c r="L1040" s="77" t="s">
        <v>1102</v>
      </c>
      <c r="M1040" s="77" t="s">
        <v>401</v>
      </c>
      <c r="N1040" s="261" t="s">
        <v>1103</v>
      </c>
    </row>
    <row r="1041" spans="1:46" ht="15.65" hidden="1" customHeight="1" x14ac:dyDescent="0.35">
      <c r="A1041" s="268" t="s">
        <v>1104</v>
      </c>
      <c r="B1041" s="268"/>
      <c r="C1041" s="158" t="s">
        <v>1105</v>
      </c>
      <c r="D1041" s="78" t="s">
        <v>368</v>
      </c>
      <c r="E1041" s="243"/>
      <c r="F1041" s="77"/>
      <c r="G1041" s="115">
        <v>42</v>
      </c>
      <c r="H1041" s="115">
        <v>47</v>
      </c>
      <c r="I1041" s="77"/>
      <c r="J1041" s="77" t="s">
        <v>1106</v>
      </c>
      <c r="K1041" s="93">
        <v>45291</v>
      </c>
      <c r="L1041" s="77" t="s">
        <v>1107</v>
      </c>
      <c r="M1041" s="77" t="s">
        <v>20</v>
      </c>
      <c r="N1041" s="94"/>
    </row>
    <row r="1042" spans="1:46" ht="15.65" hidden="1" customHeight="1" x14ac:dyDescent="0.35">
      <c r="A1042" s="268" t="s">
        <v>1108</v>
      </c>
      <c r="B1042" s="268"/>
      <c r="C1042" s="158" t="s">
        <v>1109</v>
      </c>
      <c r="D1042" s="78" t="s">
        <v>368</v>
      </c>
      <c r="E1042" s="243"/>
      <c r="F1042" s="77"/>
      <c r="G1042" s="115">
        <v>89</v>
      </c>
      <c r="H1042" s="115">
        <v>94</v>
      </c>
      <c r="I1042" s="77"/>
      <c r="J1042" s="77" t="s">
        <v>1106</v>
      </c>
      <c r="K1042" s="93">
        <v>45291</v>
      </c>
      <c r="L1042" s="77" t="s">
        <v>1107</v>
      </c>
      <c r="M1042" s="77" t="s">
        <v>20</v>
      </c>
      <c r="N1042" s="94"/>
    </row>
    <row r="1043" spans="1:46" ht="15.65" hidden="1" customHeight="1" x14ac:dyDescent="0.35">
      <c r="A1043" s="268" t="s">
        <v>1110</v>
      </c>
      <c r="B1043" s="268"/>
      <c r="C1043" s="158" t="s">
        <v>1111</v>
      </c>
      <c r="D1043" s="78" t="s">
        <v>368</v>
      </c>
      <c r="E1043" s="243"/>
      <c r="F1043" s="77"/>
      <c r="G1043" s="115">
        <v>82</v>
      </c>
      <c r="H1043" s="115">
        <v>87</v>
      </c>
      <c r="I1043" s="77"/>
      <c r="J1043" s="77" t="s">
        <v>1106</v>
      </c>
      <c r="K1043" s="93">
        <v>45291</v>
      </c>
      <c r="L1043" s="77" t="s">
        <v>1107</v>
      </c>
      <c r="M1043" s="77" t="s">
        <v>20</v>
      </c>
      <c r="N1043" s="94"/>
    </row>
    <row r="1044" spans="1:46" ht="15.65" hidden="1" customHeight="1" x14ac:dyDescent="0.25">
      <c r="A1044" s="274" t="s">
        <v>153</v>
      </c>
      <c r="B1044" s="274"/>
      <c r="C1044" s="158" t="s">
        <v>943</v>
      </c>
      <c r="D1044" s="78" t="s">
        <v>368</v>
      </c>
      <c r="E1044" s="243"/>
      <c r="F1044" s="160">
        <v>36.875999999999998</v>
      </c>
      <c r="G1044" s="247">
        <v>35.049999999999997</v>
      </c>
      <c r="H1044" s="92">
        <v>40.049999999999997</v>
      </c>
      <c r="I1044" s="77"/>
      <c r="J1044" s="77" t="s">
        <v>1024</v>
      </c>
      <c r="K1044" s="93">
        <v>45291</v>
      </c>
      <c r="L1044" s="77" t="s">
        <v>1112</v>
      </c>
      <c r="M1044" s="77" t="s">
        <v>372</v>
      </c>
      <c r="N1044" s="94" t="s">
        <v>373</v>
      </c>
    </row>
    <row r="1045" spans="1:46" s="292" customFormat="1" ht="15.65" hidden="1" customHeight="1" x14ac:dyDescent="0.35">
      <c r="A1045" s="275" t="s">
        <v>430</v>
      </c>
      <c r="B1045" s="275"/>
      <c r="C1045" s="158" t="s">
        <v>431</v>
      </c>
      <c r="D1045" s="276" t="s">
        <v>368</v>
      </c>
      <c r="E1045" s="243"/>
      <c r="F1045" s="160">
        <v>32.8095</v>
      </c>
      <c r="G1045" s="115">
        <v>30</v>
      </c>
      <c r="H1045" s="92"/>
      <c r="I1045" s="77"/>
      <c r="J1045" s="77" t="s">
        <v>370</v>
      </c>
      <c r="K1045" s="277">
        <v>45100</v>
      </c>
      <c r="L1045" s="278" t="s">
        <v>1113</v>
      </c>
      <c r="M1045" s="77" t="s">
        <v>401</v>
      </c>
      <c r="N1045" s="279" t="s">
        <v>1114</v>
      </c>
      <c r="O1045" s="71"/>
      <c r="P1045" s="71"/>
      <c r="Q1045" s="71"/>
      <c r="R1045" s="71"/>
      <c r="S1045" s="71"/>
      <c r="T1045" s="71"/>
      <c r="U1045" s="71"/>
      <c r="V1045" s="71"/>
      <c r="W1045" s="71"/>
      <c r="X1045" s="71"/>
      <c r="Y1045" s="71"/>
      <c r="Z1045" s="71"/>
      <c r="AA1045" s="71"/>
      <c r="AB1045" s="71"/>
      <c r="AC1045" s="71"/>
      <c r="AD1045" s="71"/>
      <c r="AE1045" s="71"/>
      <c r="AF1045" s="71"/>
      <c r="AG1045" s="71"/>
      <c r="AH1045" s="71"/>
      <c r="AI1045" s="71"/>
      <c r="AJ1045" s="71"/>
      <c r="AK1045" s="71"/>
      <c r="AL1045" s="71"/>
      <c r="AM1045" s="71"/>
      <c r="AN1045" s="71"/>
      <c r="AO1045" s="71"/>
      <c r="AP1045" s="71"/>
      <c r="AQ1045" s="71"/>
      <c r="AR1045" s="71"/>
      <c r="AS1045" s="71"/>
      <c r="AT1045" s="71"/>
    </row>
    <row r="1046" spans="1:46" ht="15.65" hidden="1" customHeight="1" x14ac:dyDescent="0.35">
      <c r="A1046" s="268" t="s">
        <v>1115</v>
      </c>
      <c r="B1046" s="268"/>
      <c r="C1046" s="158" t="s">
        <v>1116</v>
      </c>
      <c r="D1046" s="276" t="s">
        <v>368</v>
      </c>
      <c r="E1046" s="243"/>
      <c r="F1046" s="77"/>
      <c r="G1046" s="92">
        <v>45.05</v>
      </c>
      <c r="H1046" s="92">
        <v>50.05</v>
      </c>
      <c r="I1046" s="77"/>
      <c r="J1046" s="77" t="s">
        <v>1117</v>
      </c>
      <c r="K1046" s="93">
        <v>45291</v>
      </c>
      <c r="L1046" s="77" t="s">
        <v>1118</v>
      </c>
      <c r="M1046" s="77" t="s">
        <v>100</v>
      </c>
      <c r="N1046" s="94"/>
    </row>
    <row r="1047" spans="1:46" ht="15.65" hidden="1" customHeight="1" x14ac:dyDescent="0.35">
      <c r="A1047" s="268" t="s">
        <v>1119</v>
      </c>
      <c r="B1047" s="268"/>
      <c r="C1047" s="158" t="s">
        <v>1120</v>
      </c>
      <c r="D1047" s="276" t="s">
        <v>368</v>
      </c>
      <c r="E1047" s="243"/>
      <c r="F1047" s="77"/>
      <c r="G1047" s="92">
        <v>31.05</v>
      </c>
      <c r="H1047" s="92"/>
      <c r="I1047" s="77"/>
      <c r="J1047" s="77" t="s">
        <v>1121</v>
      </c>
      <c r="K1047" s="93">
        <v>45291</v>
      </c>
      <c r="L1047" s="77" t="s">
        <v>1122</v>
      </c>
      <c r="M1047" s="77" t="s">
        <v>20</v>
      </c>
      <c r="N1047" s="261" t="s">
        <v>1123</v>
      </c>
    </row>
    <row r="1048" spans="1:46" s="89" customFormat="1" ht="15.65" hidden="1" customHeight="1" x14ac:dyDescent="0.35">
      <c r="A1048" s="268" t="s">
        <v>146</v>
      </c>
      <c r="B1048" s="268"/>
      <c r="C1048" s="158" t="s">
        <v>942</v>
      </c>
      <c r="D1048" s="276" t="s">
        <v>368</v>
      </c>
      <c r="E1048" s="243"/>
      <c r="F1048" s="77"/>
      <c r="G1048" s="115">
        <v>79.2</v>
      </c>
      <c r="H1048" s="115">
        <v>84.2</v>
      </c>
      <c r="I1048" s="77"/>
      <c r="J1048" s="77" t="s">
        <v>1076</v>
      </c>
      <c r="K1048" s="93">
        <v>45291</v>
      </c>
      <c r="L1048" s="77" t="s">
        <v>1124</v>
      </c>
      <c r="M1048" s="77" t="s">
        <v>372</v>
      </c>
      <c r="N1048" s="94"/>
      <c r="O1048" s="71"/>
      <c r="P1048" s="71"/>
      <c r="Q1048" s="71"/>
      <c r="R1048" s="71"/>
      <c r="S1048" s="71"/>
      <c r="T1048" s="71"/>
      <c r="U1048" s="71"/>
      <c r="V1048" s="71"/>
      <c r="W1048" s="71"/>
      <c r="X1048" s="71"/>
      <c r="Y1048" s="71"/>
      <c r="Z1048" s="71"/>
      <c r="AA1048" s="71"/>
      <c r="AB1048" s="71"/>
      <c r="AC1048" s="71"/>
      <c r="AD1048" s="71"/>
      <c r="AE1048" s="71"/>
      <c r="AF1048" s="71"/>
      <c r="AG1048" s="71"/>
      <c r="AH1048" s="71"/>
      <c r="AI1048" s="71"/>
      <c r="AJ1048" s="71"/>
      <c r="AK1048" s="71"/>
      <c r="AL1048" s="71"/>
      <c r="AM1048" s="71"/>
      <c r="AN1048" s="71"/>
      <c r="AO1048" s="71"/>
      <c r="AP1048" s="71"/>
      <c r="AQ1048" s="71"/>
      <c r="AR1048" s="71"/>
      <c r="AS1048" s="71"/>
      <c r="AT1048" s="71"/>
    </row>
    <row r="1049" spans="1:46" s="89" customFormat="1" ht="15.65" hidden="1" customHeight="1" x14ac:dyDescent="0.35">
      <c r="A1049" s="268" t="s">
        <v>770</v>
      </c>
      <c r="B1049" s="268"/>
      <c r="C1049" s="158" t="s">
        <v>1125</v>
      </c>
      <c r="D1049" s="276" t="s">
        <v>368</v>
      </c>
      <c r="E1049" s="243"/>
      <c r="F1049" s="77"/>
      <c r="G1049" s="115">
        <v>35</v>
      </c>
      <c r="H1049" s="115">
        <v>40</v>
      </c>
      <c r="I1049" s="160"/>
      <c r="J1049" s="77" t="s">
        <v>1126</v>
      </c>
      <c r="K1049" s="93">
        <v>45291</v>
      </c>
      <c r="L1049" s="77" t="s">
        <v>1127</v>
      </c>
      <c r="M1049" s="77" t="s">
        <v>100</v>
      </c>
      <c r="N1049" s="94"/>
      <c r="O1049" s="71"/>
      <c r="P1049" s="71"/>
      <c r="Q1049" s="71"/>
      <c r="R1049" s="71"/>
      <c r="S1049" s="71"/>
      <c r="T1049" s="71"/>
      <c r="U1049" s="71"/>
      <c r="V1049" s="71"/>
      <c r="W1049" s="71"/>
      <c r="X1049" s="71"/>
      <c r="Y1049" s="71"/>
      <c r="Z1049" s="71"/>
      <c r="AA1049" s="71"/>
      <c r="AB1049" s="71"/>
      <c r="AC1049" s="71"/>
      <c r="AD1049" s="71"/>
      <c r="AE1049" s="71"/>
      <c r="AF1049" s="71"/>
      <c r="AG1049" s="71"/>
      <c r="AH1049" s="71"/>
      <c r="AI1049" s="71"/>
      <c r="AJ1049" s="71"/>
      <c r="AK1049" s="71"/>
      <c r="AL1049" s="71"/>
      <c r="AM1049" s="71"/>
      <c r="AN1049" s="71"/>
      <c r="AO1049" s="71"/>
      <c r="AP1049" s="71"/>
      <c r="AQ1049" s="71"/>
      <c r="AR1049" s="71"/>
      <c r="AS1049" s="71"/>
      <c r="AT1049" s="71"/>
    </row>
    <row r="1050" spans="1:46" ht="15.65" hidden="1" customHeight="1" x14ac:dyDescent="0.35">
      <c r="A1050" s="268" t="s">
        <v>631</v>
      </c>
      <c r="B1050" s="268"/>
      <c r="C1050" s="158" t="s">
        <v>632</v>
      </c>
      <c r="D1050" s="276" t="s">
        <v>368</v>
      </c>
      <c r="E1050" s="243"/>
      <c r="F1050" s="77"/>
      <c r="G1050" s="115">
        <v>32</v>
      </c>
      <c r="H1050" s="115">
        <v>37</v>
      </c>
      <c r="I1050" s="77"/>
      <c r="J1050" s="77" t="s">
        <v>56</v>
      </c>
      <c r="K1050" s="93">
        <v>45291</v>
      </c>
      <c r="L1050" s="77" t="s">
        <v>1128</v>
      </c>
      <c r="M1050" s="77" t="s">
        <v>104</v>
      </c>
      <c r="N1050" s="94"/>
    </row>
    <row r="1051" spans="1:46" ht="15.65" hidden="1" customHeight="1" x14ac:dyDescent="0.35">
      <c r="A1051" s="268" t="s">
        <v>1129</v>
      </c>
      <c r="B1051" s="268"/>
      <c r="C1051" s="158" t="s">
        <v>1130</v>
      </c>
      <c r="D1051" s="276" t="s">
        <v>368</v>
      </c>
      <c r="E1051" s="243"/>
      <c r="F1051" s="77"/>
      <c r="G1051" s="115">
        <v>140</v>
      </c>
      <c r="H1051" s="115">
        <v>145</v>
      </c>
      <c r="I1051" s="77"/>
      <c r="J1051" s="77" t="s">
        <v>56</v>
      </c>
      <c r="K1051" s="93">
        <v>45291</v>
      </c>
      <c r="L1051" s="77" t="s">
        <v>1128</v>
      </c>
      <c r="M1051" s="77" t="s">
        <v>104</v>
      </c>
      <c r="N1051" s="94"/>
    </row>
    <row r="1052" spans="1:46" ht="15.65" hidden="1" customHeight="1" x14ac:dyDescent="0.35">
      <c r="A1052" s="268" t="s">
        <v>658</v>
      </c>
      <c r="B1052" s="268"/>
      <c r="C1052" s="158" t="s">
        <v>659</v>
      </c>
      <c r="D1052" s="276" t="s">
        <v>368</v>
      </c>
      <c r="E1052" s="243"/>
      <c r="F1052" s="77"/>
      <c r="G1052" s="115">
        <v>66</v>
      </c>
      <c r="H1052" s="115">
        <v>71</v>
      </c>
      <c r="I1052" s="77"/>
      <c r="J1052" s="77" t="s">
        <v>56</v>
      </c>
      <c r="K1052" s="93">
        <v>45291</v>
      </c>
      <c r="L1052" s="77" t="s">
        <v>1128</v>
      </c>
      <c r="M1052" s="77" t="s">
        <v>104</v>
      </c>
      <c r="N1052" s="94"/>
    </row>
    <row r="1053" spans="1:46" s="89" customFormat="1" ht="15.65" hidden="1" customHeight="1" x14ac:dyDescent="0.35">
      <c r="A1053" s="268" t="s">
        <v>662</v>
      </c>
      <c r="B1053" s="268"/>
      <c r="C1053" s="158" t="s">
        <v>1131</v>
      </c>
      <c r="D1053" s="276" t="s">
        <v>368</v>
      </c>
      <c r="E1053" s="243"/>
      <c r="F1053" s="77"/>
      <c r="G1053" s="115">
        <v>47</v>
      </c>
      <c r="H1053" s="115">
        <v>52</v>
      </c>
      <c r="I1053" s="77"/>
      <c r="J1053" s="77" t="s">
        <v>56</v>
      </c>
      <c r="K1053" s="93">
        <v>45291</v>
      </c>
      <c r="L1053" s="77" t="s">
        <v>1128</v>
      </c>
      <c r="M1053" s="77" t="s">
        <v>104</v>
      </c>
      <c r="N1053" s="94"/>
      <c r="O1053" s="71"/>
      <c r="P1053" s="71"/>
      <c r="Q1053" s="71"/>
      <c r="R1053" s="71"/>
      <c r="S1053" s="71"/>
      <c r="T1053" s="71"/>
      <c r="U1053" s="71"/>
      <c r="V1053" s="71"/>
      <c r="W1053" s="71"/>
      <c r="X1053" s="71"/>
      <c r="Y1053" s="71"/>
      <c r="Z1053" s="71"/>
      <c r="AA1053" s="71"/>
      <c r="AB1053" s="71"/>
      <c r="AC1053" s="71"/>
      <c r="AD1053" s="71"/>
      <c r="AE1053" s="71"/>
      <c r="AF1053" s="71"/>
      <c r="AG1053" s="71"/>
      <c r="AH1053" s="71"/>
      <c r="AI1053" s="71"/>
      <c r="AJ1053" s="71"/>
      <c r="AK1053" s="71"/>
      <c r="AL1053" s="71"/>
      <c r="AM1053" s="71"/>
      <c r="AN1053" s="71"/>
      <c r="AO1053" s="71"/>
      <c r="AP1053" s="71"/>
      <c r="AQ1053" s="71"/>
      <c r="AR1053" s="71"/>
      <c r="AS1053" s="71"/>
      <c r="AT1053" s="71"/>
    </row>
    <row r="1054" spans="1:46" ht="15.65" hidden="1" customHeight="1" x14ac:dyDescent="0.35">
      <c r="A1054" s="268" t="s">
        <v>1132</v>
      </c>
      <c r="B1054" s="268"/>
      <c r="C1054" s="158" t="s">
        <v>1133</v>
      </c>
      <c r="D1054" s="276" t="s">
        <v>368</v>
      </c>
      <c r="E1054" s="243"/>
      <c r="F1054" s="77"/>
      <c r="G1054" s="115">
        <v>45</v>
      </c>
      <c r="H1054" s="115">
        <v>50</v>
      </c>
      <c r="I1054" s="160"/>
      <c r="J1054" s="77" t="s">
        <v>1134</v>
      </c>
      <c r="K1054" s="93">
        <v>45291</v>
      </c>
      <c r="L1054" s="77" t="s">
        <v>1135</v>
      </c>
      <c r="M1054" s="77" t="s">
        <v>20</v>
      </c>
      <c r="N1054" s="94"/>
    </row>
    <row r="1055" spans="1:46" ht="15.65" hidden="1" customHeight="1" x14ac:dyDescent="0.35">
      <c r="A1055" s="268" t="s">
        <v>1136</v>
      </c>
      <c r="B1055" s="268"/>
      <c r="C1055" s="158" t="s">
        <v>1137</v>
      </c>
      <c r="D1055" s="276" t="s">
        <v>368</v>
      </c>
      <c r="E1055" s="243"/>
      <c r="F1055" s="77"/>
      <c r="G1055" s="115">
        <v>52</v>
      </c>
      <c r="H1055" s="115">
        <v>57</v>
      </c>
      <c r="I1055" s="160"/>
      <c r="J1055" s="77" t="s">
        <v>1134</v>
      </c>
      <c r="K1055" s="93">
        <v>45291</v>
      </c>
      <c r="L1055" s="77" t="s">
        <v>1135</v>
      </c>
      <c r="M1055" s="77" t="s">
        <v>100</v>
      </c>
      <c r="N1055" s="94"/>
    </row>
    <row r="1056" spans="1:46" ht="15.65" hidden="1" customHeight="1" x14ac:dyDescent="0.25">
      <c r="A1056" s="273" t="s">
        <v>157</v>
      </c>
      <c r="B1056" s="273"/>
      <c r="C1056" s="158" t="s">
        <v>462</v>
      </c>
      <c r="D1056" s="78" t="s">
        <v>368</v>
      </c>
      <c r="E1056" s="243"/>
      <c r="F1056" s="160"/>
      <c r="G1056" s="115">
        <v>50.161000000000001</v>
      </c>
      <c r="H1056" s="247">
        <v>55.161000000000001</v>
      </c>
      <c r="I1056" s="77"/>
      <c r="J1056" s="77" t="s">
        <v>382</v>
      </c>
      <c r="K1056" s="93">
        <v>45291</v>
      </c>
      <c r="L1056" s="77" t="s">
        <v>1138</v>
      </c>
      <c r="M1056" s="94" t="s">
        <v>100</v>
      </c>
      <c r="N1056" s="94" t="s">
        <v>1139</v>
      </c>
    </row>
    <row r="1057" spans="1:46" ht="15.65" hidden="1" customHeight="1" x14ac:dyDescent="0.35">
      <c r="A1057" s="268" t="s">
        <v>161</v>
      </c>
      <c r="B1057" s="268"/>
      <c r="C1057" s="158" t="s">
        <v>419</v>
      </c>
      <c r="D1057" s="78" t="s">
        <v>368</v>
      </c>
      <c r="E1057" s="243"/>
      <c r="F1057" s="77"/>
      <c r="G1057" s="92">
        <v>50.95</v>
      </c>
      <c r="H1057" s="92">
        <v>55.95</v>
      </c>
      <c r="I1057" s="77"/>
      <c r="J1057" s="77" t="s">
        <v>1140</v>
      </c>
      <c r="K1057" s="93">
        <v>45291</v>
      </c>
      <c r="L1057" s="77" t="s">
        <v>1141</v>
      </c>
      <c r="M1057" s="77" t="s">
        <v>401</v>
      </c>
      <c r="N1057" s="94" t="s">
        <v>1142</v>
      </c>
    </row>
    <row r="1058" spans="1:46" ht="15.65" hidden="1" customHeight="1" x14ac:dyDescent="0.35">
      <c r="A1058" s="268" t="s">
        <v>1143</v>
      </c>
      <c r="B1058" s="268"/>
      <c r="C1058" s="158" t="s">
        <v>1144</v>
      </c>
      <c r="D1058" s="78" t="s">
        <v>368</v>
      </c>
      <c r="E1058" s="243"/>
      <c r="F1058" s="77"/>
      <c r="G1058" s="92" t="s">
        <v>1145</v>
      </c>
      <c r="H1058" s="92" t="s">
        <v>1146</v>
      </c>
      <c r="I1058" s="77" t="s">
        <v>1147</v>
      </c>
      <c r="J1058" s="77" t="s">
        <v>933</v>
      </c>
      <c r="K1058" s="93">
        <v>45291</v>
      </c>
      <c r="L1058" s="77" t="s">
        <v>1148</v>
      </c>
      <c r="M1058" s="77" t="s">
        <v>20</v>
      </c>
      <c r="N1058" s="261" t="s">
        <v>1149</v>
      </c>
    </row>
    <row r="1059" spans="1:46" s="89" customFormat="1" ht="15.65" hidden="1" customHeight="1" x14ac:dyDescent="0.35">
      <c r="A1059" s="268" t="s">
        <v>51</v>
      </c>
      <c r="B1059" s="268"/>
      <c r="C1059" s="158" t="s">
        <v>1144</v>
      </c>
      <c r="D1059" s="78" t="s">
        <v>368</v>
      </c>
      <c r="E1059" s="243"/>
      <c r="F1059" s="77"/>
      <c r="G1059" s="92" t="s">
        <v>1150</v>
      </c>
      <c r="H1059" s="92"/>
      <c r="I1059" s="77"/>
      <c r="J1059" s="77" t="s">
        <v>933</v>
      </c>
      <c r="K1059" s="93">
        <v>45291</v>
      </c>
      <c r="L1059" s="77" t="s">
        <v>1148</v>
      </c>
      <c r="M1059" s="77" t="s">
        <v>20</v>
      </c>
      <c r="N1059" s="261" t="s">
        <v>1151</v>
      </c>
      <c r="O1059" s="71"/>
      <c r="P1059" s="71"/>
      <c r="Q1059" s="71"/>
      <c r="R1059" s="71"/>
      <c r="S1059" s="71"/>
      <c r="T1059" s="71"/>
      <c r="U1059" s="71"/>
      <c r="V1059" s="71"/>
      <c r="W1059" s="71"/>
      <c r="X1059" s="71"/>
      <c r="Y1059" s="71"/>
      <c r="Z1059" s="71"/>
      <c r="AA1059" s="71"/>
      <c r="AB1059" s="71"/>
      <c r="AC1059" s="71"/>
      <c r="AD1059" s="71"/>
      <c r="AE1059" s="71"/>
      <c r="AF1059" s="71"/>
      <c r="AG1059" s="71"/>
      <c r="AH1059" s="71"/>
      <c r="AI1059" s="71"/>
      <c r="AJ1059" s="71"/>
      <c r="AK1059" s="71"/>
      <c r="AL1059" s="71"/>
      <c r="AM1059" s="71"/>
      <c r="AN1059" s="71"/>
      <c r="AO1059" s="71"/>
      <c r="AP1059" s="71"/>
      <c r="AQ1059" s="71"/>
      <c r="AR1059" s="71"/>
      <c r="AS1059" s="71"/>
      <c r="AT1059" s="71"/>
    </row>
    <row r="1060" spans="1:46" s="89" customFormat="1" ht="15.65" hidden="1" customHeight="1" x14ac:dyDescent="0.35">
      <c r="A1060" s="268" t="s">
        <v>84</v>
      </c>
      <c r="B1060" s="268"/>
      <c r="C1060" s="158" t="s">
        <v>85</v>
      </c>
      <c r="D1060" s="78" t="s">
        <v>368</v>
      </c>
      <c r="E1060" s="243"/>
      <c r="F1060" s="77" t="s">
        <v>986</v>
      </c>
      <c r="G1060" s="92">
        <v>70.95</v>
      </c>
      <c r="H1060" s="92">
        <v>75.95</v>
      </c>
      <c r="I1060" s="77"/>
      <c r="J1060" s="77" t="s">
        <v>56</v>
      </c>
      <c r="K1060" s="93">
        <v>45291</v>
      </c>
      <c r="L1060" s="77" t="s">
        <v>1152</v>
      </c>
      <c r="M1060" s="77" t="s">
        <v>100</v>
      </c>
      <c r="N1060" s="94"/>
      <c r="O1060" s="71"/>
      <c r="P1060" s="71"/>
      <c r="Q1060" s="71"/>
      <c r="R1060" s="71"/>
      <c r="S1060" s="71"/>
      <c r="T1060" s="71"/>
      <c r="U1060" s="71"/>
      <c r="V1060" s="71"/>
      <c r="W1060" s="71"/>
      <c r="X1060" s="71"/>
      <c r="Y1060" s="71"/>
      <c r="Z1060" s="71"/>
      <c r="AA1060" s="71"/>
      <c r="AB1060" s="71"/>
      <c r="AC1060" s="71"/>
      <c r="AD1060" s="71"/>
      <c r="AE1060" s="71"/>
      <c r="AF1060" s="71"/>
      <c r="AG1060" s="71"/>
      <c r="AH1060" s="71"/>
      <c r="AI1060" s="71"/>
      <c r="AJ1060" s="71"/>
      <c r="AK1060" s="71"/>
      <c r="AL1060" s="71"/>
      <c r="AM1060" s="71"/>
      <c r="AN1060" s="71"/>
      <c r="AO1060" s="71"/>
      <c r="AP1060" s="71"/>
      <c r="AQ1060" s="71"/>
      <c r="AR1060" s="71"/>
      <c r="AS1060" s="71"/>
      <c r="AT1060" s="71"/>
    </row>
    <row r="1061" spans="1:46" ht="15.65" hidden="1" customHeight="1" x14ac:dyDescent="0.35">
      <c r="A1061" s="166">
        <v>49.13</v>
      </c>
      <c r="B1061" s="166"/>
      <c r="C1061" s="272" t="s">
        <v>1153</v>
      </c>
      <c r="D1061" s="78" t="s">
        <v>368</v>
      </c>
      <c r="E1061" s="243"/>
      <c r="F1061" s="77"/>
      <c r="G1061" s="250">
        <v>108.95</v>
      </c>
      <c r="H1061" s="250">
        <v>113.95</v>
      </c>
      <c r="I1061" s="541"/>
      <c r="J1061" s="77" t="s">
        <v>56</v>
      </c>
      <c r="K1061" s="245">
        <v>45291</v>
      </c>
      <c r="L1061" s="77" t="s">
        <v>1154</v>
      </c>
      <c r="M1061" s="77" t="s">
        <v>100</v>
      </c>
      <c r="N1061" s="261" t="s">
        <v>1155</v>
      </c>
    </row>
    <row r="1062" spans="1:46" s="89" customFormat="1" ht="15" hidden="1" customHeight="1" x14ac:dyDescent="0.25">
      <c r="A1062" s="248" t="s">
        <v>131</v>
      </c>
      <c r="B1062" s="248"/>
      <c r="C1062" s="158" t="s">
        <v>935</v>
      </c>
      <c r="D1062" s="78" t="s">
        <v>368</v>
      </c>
      <c r="E1062" s="243"/>
      <c r="F1062" s="77"/>
      <c r="G1062" s="115">
        <v>21.734999999999999</v>
      </c>
      <c r="H1062" s="247">
        <v>26.734999999999999</v>
      </c>
      <c r="I1062" s="97"/>
      <c r="J1062" s="114" t="s">
        <v>1156</v>
      </c>
      <c r="K1062" s="93">
        <v>45291</v>
      </c>
      <c r="L1062" s="77" t="s">
        <v>1157</v>
      </c>
      <c r="M1062" s="77" t="s">
        <v>20</v>
      </c>
      <c r="N1062" s="94" t="s">
        <v>1158</v>
      </c>
      <c r="O1062" s="71"/>
      <c r="P1062" s="71"/>
      <c r="Q1062" s="71"/>
      <c r="R1062" s="71"/>
      <c r="S1062" s="71"/>
      <c r="T1062" s="71"/>
      <c r="U1062" s="71"/>
      <c r="V1062" s="71"/>
      <c r="W1062" s="71"/>
      <c r="X1062" s="71"/>
      <c r="Y1062" s="71"/>
      <c r="Z1062" s="71"/>
      <c r="AA1062" s="71"/>
      <c r="AB1062" s="71"/>
      <c r="AC1062" s="71"/>
      <c r="AD1062" s="71"/>
      <c r="AE1062" s="71"/>
      <c r="AF1062" s="71"/>
      <c r="AG1062" s="71"/>
      <c r="AH1062" s="71"/>
      <c r="AI1062" s="71"/>
      <c r="AJ1062" s="71"/>
      <c r="AK1062" s="71"/>
      <c r="AL1062" s="71"/>
      <c r="AM1062" s="71"/>
      <c r="AN1062" s="71"/>
      <c r="AO1062" s="71"/>
      <c r="AP1062" s="71"/>
      <c r="AQ1062" s="71"/>
      <c r="AR1062" s="71"/>
      <c r="AS1062" s="71"/>
      <c r="AT1062" s="71"/>
    </row>
    <row r="1063" spans="1:46" s="89" customFormat="1" ht="15" hidden="1" customHeight="1" x14ac:dyDescent="0.35">
      <c r="A1063" s="156" t="s">
        <v>452</v>
      </c>
      <c r="B1063" s="156"/>
      <c r="C1063" s="158" t="s">
        <v>448</v>
      </c>
      <c r="D1063" s="78" t="s">
        <v>368</v>
      </c>
      <c r="E1063" s="243"/>
      <c r="F1063" s="77"/>
      <c r="G1063" s="92">
        <v>78.95</v>
      </c>
      <c r="H1063" s="92">
        <v>83.95</v>
      </c>
      <c r="I1063" s="97"/>
      <c r="J1063" s="77" t="s">
        <v>56</v>
      </c>
      <c r="K1063" s="93">
        <v>45291</v>
      </c>
      <c r="L1063" s="77" t="s">
        <v>1159</v>
      </c>
      <c r="M1063" s="77" t="s">
        <v>20</v>
      </c>
      <c r="N1063" s="94"/>
      <c r="O1063" s="71"/>
      <c r="P1063" s="71"/>
      <c r="Q1063" s="71"/>
      <c r="R1063" s="71"/>
      <c r="S1063" s="71"/>
      <c r="T1063" s="71"/>
      <c r="U1063" s="71"/>
      <c r="V1063" s="71"/>
      <c r="W1063" s="71"/>
      <c r="X1063" s="71"/>
      <c r="Y1063" s="71"/>
      <c r="Z1063" s="71"/>
      <c r="AA1063" s="71"/>
      <c r="AB1063" s="71"/>
      <c r="AC1063" s="71"/>
      <c r="AD1063" s="71"/>
      <c r="AE1063" s="71"/>
      <c r="AF1063" s="71"/>
      <c r="AG1063" s="71"/>
      <c r="AH1063" s="71"/>
      <c r="AI1063" s="71"/>
      <c r="AJ1063" s="71"/>
      <c r="AK1063" s="71"/>
      <c r="AL1063" s="71"/>
      <c r="AM1063" s="71"/>
      <c r="AN1063" s="71"/>
      <c r="AO1063" s="71"/>
      <c r="AP1063" s="71"/>
      <c r="AQ1063" s="71"/>
      <c r="AR1063" s="71"/>
      <c r="AS1063" s="71"/>
      <c r="AT1063" s="71"/>
    </row>
    <row r="1064" spans="1:46" s="89" customFormat="1" ht="15" hidden="1" customHeight="1" x14ac:dyDescent="0.35">
      <c r="A1064" s="156" t="s">
        <v>1160</v>
      </c>
      <c r="B1064" s="156"/>
      <c r="C1064" s="158" t="s">
        <v>1161</v>
      </c>
      <c r="D1064" s="78" t="s">
        <v>368</v>
      </c>
      <c r="E1064" s="243"/>
      <c r="F1064" s="77"/>
      <c r="G1064" s="92">
        <v>80.05</v>
      </c>
      <c r="H1064" s="92">
        <v>85.05</v>
      </c>
      <c r="I1064" s="77"/>
      <c r="J1064" s="77" t="s">
        <v>56</v>
      </c>
      <c r="K1064" s="93">
        <v>45291</v>
      </c>
      <c r="L1064" s="77" t="s">
        <v>1159</v>
      </c>
      <c r="M1064" s="77" t="s">
        <v>20</v>
      </c>
      <c r="N1064" s="94"/>
      <c r="O1064" s="71"/>
      <c r="P1064" s="71"/>
      <c r="Q1064" s="71"/>
      <c r="R1064" s="71"/>
      <c r="S1064" s="71"/>
      <c r="T1064" s="71"/>
      <c r="U1064" s="71"/>
      <c r="V1064" s="71"/>
      <c r="W1064" s="71"/>
      <c r="X1064" s="71"/>
      <c r="Y1064" s="71"/>
      <c r="Z1064" s="71"/>
      <c r="AA1064" s="71"/>
      <c r="AB1064" s="71"/>
      <c r="AC1064" s="71"/>
      <c r="AD1064" s="71"/>
      <c r="AE1064" s="71"/>
      <c r="AF1064" s="71"/>
      <c r="AG1064" s="71"/>
      <c r="AH1064" s="71"/>
      <c r="AI1064" s="71"/>
      <c r="AJ1064" s="71"/>
      <c r="AK1064" s="71"/>
      <c r="AL1064" s="71"/>
      <c r="AM1064" s="71"/>
      <c r="AN1064" s="71"/>
      <c r="AO1064" s="71"/>
      <c r="AP1064" s="71"/>
      <c r="AQ1064" s="71"/>
      <c r="AR1064" s="71"/>
      <c r="AS1064" s="71"/>
      <c r="AT1064" s="71"/>
    </row>
    <row r="1065" spans="1:46" s="89" customFormat="1" ht="15" hidden="1" customHeight="1" x14ac:dyDescent="0.35">
      <c r="A1065" s="156" t="s">
        <v>1162</v>
      </c>
      <c r="B1065" s="156"/>
      <c r="C1065" s="158" t="s">
        <v>1163</v>
      </c>
      <c r="D1065" s="78" t="s">
        <v>368</v>
      </c>
      <c r="E1065" s="243"/>
      <c r="F1065" s="77"/>
      <c r="G1065" s="115">
        <v>74</v>
      </c>
      <c r="H1065" s="115">
        <v>79</v>
      </c>
      <c r="I1065" s="77"/>
      <c r="J1065" s="77" t="s">
        <v>56</v>
      </c>
      <c r="K1065" s="93">
        <v>45291</v>
      </c>
      <c r="L1065" s="77" t="s">
        <v>1159</v>
      </c>
      <c r="M1065" s="77" t="s">
        <v>20</v>
      </c>
      <c r="N1065" s="94"/>
      <c r="O1065" s="71"/>
      <c r="P1065" s="71"/>
      <c r="Q1065" s="71"/>
      <c r="R1065" s="71"/>
      <c r="S1065" s="71"/>
      <c r="T1065" s="71"/>
      <c r="U1065" s="71"/>
      <c r="V1065" s="71"/>
      <c r="W1065" s="71"/>
      <c r="X1065" s="71"/>
      <c r="Y1065" s="71"/>
      <c r="Z1065" s="71"/>
      <c r="AA1065" s="71"/>
      <c r="AB1065" s="71"/>
      <c r="AC1065" s="71"/>
      <c r="AD1065" s="71"/>
      <c r="AE1065" s="71"/>
      <c r="AF1065" s="71"/>
      <c r="AG1065" s="71"/>
      <c r="AH1065" s="71"/>
      <c r="AI1065" s="71"/>
      <c r="AJ1065" s="71"/>
      <c r="AK1065" s="71"/>
      <c r="AL1065" s="71"/>
      <c r="AM1065" s="71"/>
      <c r="AN1065" s="71"/>
      <c r="AO1065" s="71"/>
      <c r="AP1065" s="71"/>
      <c r="AQ1065" s="71"/>
      <c r="AR1065" s="71"/>
      <c r="AS1065" s="71"/>
      <c r="AT1065" s="71"/>
    </row>
    <row r="1066" spans="1:46" s="89" customFormat="1" ht="15" hidden="1" customHeight="1" x14ac:dyDescent="0.35">
      <c r="A1066" s="156" t="s">
        <v>1164</v>
      </c>
      <c r="B1066" s="156"/>
      <c r="C1066" s="158" t="s">
        <v>1165</v>
      </c>
      <c r="D1066" s="78" t="s">
        <v>368</v>
      </c>
      <c r="E1066" s="243"/>
      <c r="F1066" s="77"/>
      <c r="G1066" s="115">
        <v>68</v>
      </c>
      <c r="H1066" s="115">
        <f>G1066+5</f>
        <v>73</v>
      </c>
      <c r="I1066" s="77"/>
      <c r="J1066" s="77" t="s">
        <v>56</v>
      </c>
      <c r="K1066" s="93">
        <v>45291</v>
      </c>
      <c r="L1066" s="77" t="s">
        <v>1166</v>
      </c>
      <c r="M1066" s="77" t="s">
        <v>20</v>
      </c>
      <c r="N1066" s="94"/>
      <c r="O1066" s="71"/>
      <c r="P1066" s="71"/>
      <c r="Q1066" s="71"/>
      <c r="R1066" s="71"/>
      <c r="S1066" s="71"/>
      <c r="T1066" s="71"/>
      <c r="U1066" s="71"/>
      <c r="V1066" s="71"/>
      <c r="W1066" s="71"/>
      <c r="X1066" s="71"/>
      <c r="Y1066" s="71"/>
      <c r="Z1066" s="71"/>
      <c r="AA1066" s="71"/>
      <c r="AB1066" s="71"/>
      <c r="AC1066" s="71"/>
      <c r="AD1066" s="71"/>
      <c r="AE1066" s="71"/>
      <c r="AF1066" s="71"/>
      <c r="AG1066" s="71"/>
      <c r="AH1066" s="71"/>
      <c r="AI1066" s="71"/>
      <c r="AJ1066" s="71"/>
      <c r="AK1066" s="71"/>
      <c r="AL1066" s="71"/>
      <c r="AM1066" s="71"/>
      <c r="AN1066" s="71"/>
      <c r="AO1066" s="71"/>
      <c r="AP1066" s="71"/>
      <c r="AQ1066" s="71"/>
      <c r="AR1066" s="71"/>
      <c r="AS1066" s="71"/>
      <c r="AT1066" s="71"/>
    </row>
    <row r="1067" spans="1:46" s="89" customFormat="1" ht="15" hidden="1" customHeight="1" x14ac:dyDescent="0.35">
      <c r="A1067" s="268" t="s">
        <v>545</v>
      </c>
      <c r="B1067" s="268"/>
      <c r="C1067" s="158" t="s">
        <v>1167</v>
      </c>
      <c r="D1067" s="78" t="s">
        <v>368</v>
      </c>
      <c r="E1067" s="243"/>
      <c r="F1067" s="77"/>
      <c r="G1067" s="115">
        <v>68</v>
      </c>
      <c r="H1067" s="115">
        <f>G1067+5</f>
        <v>73</v>
      </c>
      <c r="I1067" s="77"/>
      <c r="J1067" s="77" t="s">
        <v>56</v>
      </c>
      <c r="K1067" s="93">
        <v>45291</v>
      </c>
      <c r="L1067" s="77" t="s">
        <v>1166</v>
      </c>
      <c r="M1067" s="77" t="s">
        <v>20</v>
      </c>
      <c r="N1067" s="94"/>
      <c r="O1067" s="71"/>
      <c r="P1067" s="71"/>
      <c r="Q1067" s="71"/>
      <c r="R1067" s="71"/>
      <c r="S1067" s="71"/>
      <c r="T1067" s="71"/>
      <c r="U1067" s="71"/>
      <c r="V1067" s="71"/>
      <c r="W1067" s="71"/>
      <c r="X1067" s="71"/>
      <c r="Y1067" s="71"/>
      <c r="Z1067" s="71"/>
      <c r="AA1067" s="71"/>
      <c r="AB1067" s="71"/>
      <c r="AC1067" s="71"/>
      <c r="AD1067" s="71"/>
      <c r="AE1067" s="71"/>
      <c r="AF1067" s="71"/>
      <c r="AG1067" s="71"/>
      <c r="AH1067" s="71"/>
      <c r="AI1067" s="71"/>
      <c r="AJ1067" s="71"/>
      <c r="AK1067" s="71"/>
      <c r="AL1067" s="71"/>
      <c r="AM1067" s="71"/>
      <c r="AN1067" s="71"/>
      <c r="AO1067" s="71"/>
      <c r="AP1067" s="71"/>
      <c r="AQ1067" s="71"/>
      <c r="AR1067" s="71"/>
      <c r="AS1067" s="71"/>
      <c r="AT1067" s="71"/>
    </row>
    <row r="1068" spans="1:46" ht="15" hidden="1" customHeight="1" x14ac:dyDescent="0.25">
      <c r="A1068" s="77">
        <v>14.03</v>
      </c>
      <c r="B1068" s="77"/>
      <c r="C1068" s="158" t="s">
        <v>966</v>
      </c>
      <c r="D1068" s="78" t="s">
        <v>368</v>
      </c>
      <c r="E1068" s="167" t="s">
        <v>369</v>
      </c>
      <c r="F1068" s="163"/>
      <c r="G1068" s="115">
        <v>112.32</v>
      </c>
      <c r="H1068" s="247">
        <v>117.32</v>
      </c>
      <c r="I1068" s="77"/>
      <c r="J1068" s="77" t="s">
        <v>905</v>
      </c>
      <c r="K1068" s="93">
        <v>45291</v>
      </c>
      <c r="L1068" s="77" t="s">
        <v>371</v>
      </c>
      <c r="M1068" s="77" t="s">
        <v>372</v>
      </c>
      <c r="N1068" s="94" t="s">
        <v>373</v>
      </c>
    </row>
    <row r="1069" spans="1:46" ht="15" hidden="1" customHeight="1" x14ac:dyDescent="0.25">
      <c r="A1069" s="77">
        <v>22.607011</v>
      </c>
      <c r="B1069" s="77"/>
      <c r="C1069" s="158" t="s">
        <v>611</v>
      </c>
      <c r="D1069" s="78" t="s">
        <v>368</v>
      </c>
      <c r="E1069" s="170" t="s">
        <v>369</v>
      </c>
      <c r="F1069" s="163"/>
      <c r="G1069" s="115">
        <v>45.5</v>
      </c>
      <c r="H1069" s="247">
        <v>50.5</v>
      </c>
      <c r="I1069" s="77"/>
      <c r="J1069" s="77" t="s">
        <v>905</v>
      </c>
      <c r="K1069" s="93">
        <v>45291</v>
      </c>
      <c r="L1069" s="77" t="s">
        <v>371</v>
      </c>
      <c r="M1069" s="77" t="s">
        <v>372</v>
      </c>
      <c r="N1069" s="94" t="s">
        <v>373</v>
      </c>
    </row>
    <row r="1070" spans="1:46" ht="15" hidden="1" customHeight="1" x14ac:dyDescent="0.35">
      <c r="A1070" s="166">
        <v>31.08</v>
      </c>
      <c r="B1070" s="166"/>
      <c r="C1070" s="242" t="s">
        <v>1168</v>
      </c>
      <c r="D1070" s="78" t="s">
        <v>368</v>
      </c>
      <c r="E1070" s="168" t="s">
        <v>1169</v>
      </c>
      <c r="F1070" s="163"/>
      <c r="G1070" s="250">
        <v>31.33</v>
      </c>
      <c r="H1070" s="250">
        <v>36.33</v>
      </c>
      <c r="I1070" s="77"/>
      <c r="J1070" s="77" t="s">
        <v>437</v>
      </c>
      <c r="K1070" s="93" t="s">
        <v>902</v>
      </c>
      <c r="L1070" s="77" t="s">
        <v>903</v>
      </c>
      <c r="M1070" s="77" t="s">
        <v>372</v>
      </c>
      <c r="N1070" s="94" t="s">
        <v>373</v>
      </c>
    </row>
    <row r="1071" spans="1:46" ht="15" hidden="1" customHeight="1" x14ac:dyDescent="0.25">
      <c r="A1071" s="77">
        <v>31.08</v>
      </c>
      <c r="B1071" s="77"/>
      <c r="C1071" s="158" t="s">
        <v>665</v>
      </c>
      <c r="D1071" s="78" t="s">
        <v>368</v>
      </c>
      <c r="E1071" s="167" t="s">
        <v>369</v>
      </c>
      <c r="F1071" s="163"/>
      <c r="G1071" s="115">
        <v>31.33</v>
      </c>
      <c r="H1071" s="247">
        <v>36.33</v>
      </c>
      <c r="I1071" s="77"/>
      <c r="J1071" s="77" t="s">
        <v>905</v>
      </c>
      <c r="K1071" s="93">
        <v>45291</v>
      </c>
      <c r="L1071" s="77" t="s">
        <v>371</v>
      </c>
      <c r="M1071" s="77" t="s">
        <v>372</v>
      </c>
      <c r="N1071" s="94" t="s">
        <v>373</v>
      </c>
    </row>
    <row r="1072" spans="1:46" s="298" customFormat="1" ht="15" hidden="1" customHeight="1" x14ac:dyDescent="0.35">
      <c r="A1072" s="264">
        <v>31.22</v>
      </c>
      <c r="B1072" s="264"/>
      <c r="C1072" s="242" t="s">
        <v>1170</v>
      </c>
      <c r="D1072" s="78" t="s">
        <v>368</v>
      </c>
      <c r="E1072" s="168" t="s">
        <v>1171</v>
      </c>
      <c r="F1072" s="163"/>
      <c r="G1072" s="250">
        <v>56.7</v>
      </c>
      <c r="H1072" s="250">
        <v>61.7</v>
      </c>
      <c r="I1072" s="77"/>
      <c r="J1072" s="77" t="s">
        <v>437</v>
      </c>
      <c r="K1072" s="93" t="s">
        <v>902</v>
      </c>
      <c r="L1072" s="77" t="s">
        <v>903</v>
      </c>
      <c r="M1072" s="77" t="s">
        <v>372</v>
      </c>
      <c r="N1072" s="77" t="s">
        <v>443</v>
      </c>
      <c r="O1072" s="71"/>
      <c r="P1072" s="71"/>
      <c r="Q1072" s="71"/>
      <c r="R1072" s="71"/>
      <c r="S1072" s="71"/>
      <c r="T1072" s="71"/>
      <c r="U1072" s="71"/>
      <c r="V1072" s="71"/>
      <c r="W1072" s="71"/>
      <c r="X1072" s="71"/>
      <c r="Y1072" s="71"/>
      <c r="Z1072" s="71"/>
      <c r="AA1072" s="71"/>
      <c r="AB1072" s="71"/>
      <c r="AC1072" s="71"/>
      <c r="AD1072" s="71"/>
      <c r="AE1072" s="71"/>
      <c r="AF1072" s="71"/>
      <c r="AG1072" s="71"/>
      <c r="AH1072" s="71"/>
      <c r="AI1072" s="71"/>
      <c r="AJ1072" s="71"/>
      <c r="AK1072" s="71"/>
      <c r="AL1072" s="71"/>
      <c r="AM1072" s="71"/>
      <c r="AN1072" s="71"/>
      <c r="AO1072" s="71"/>
      <c r="AP1072" s="71"/>
      <c r="AQ1072" s="71"/>
      <c r="AR1072" s="71"/>
      <c r="AS1072" s="71"/>
      <c r="AT1072" s="71"/>
    </row>
    <row r="1073" spans="1:14" ht="15" hidden="1" customHeight="1" x14ac:dyDescent="0.25">
      <c r="A1073" s="77">
        <v>31.22</v>
      </c>
      <c r="B1073" s="77"/>
      <c r="C1073" s="158" t="s">
        <v>1011</v>
      </c>
      <c r="D1073" s="78" t="s">
        <v>368</v>
      </c>
      <c r="E1073" s="168" t="s">
        <v>1171</v>
      </c>
      <c r="F1073" s="163"/>
      <c r="G1073" s="115">
        <v>56.7</v>
      </c>
      <c r="H1073" s="247">
        <v>61.7</v>
      </c>
      <c r="I1073" s="77"/>
      <c r="J1073" s="77" t="s">
        <v>905</v>
      </c>
      <c r="K1073" s="93">
        <v>45291</v>
      </c>
      <c r="L1073" s="77" t="s">
        <v>371</v>
      </c>
      <c r="M1073" s="77" t="s">
        <v>372</v>
      </c>
      <c r="N1073" s="94" t="s">
        <v>373</v>
      </c>
    </row>
    <row r="1074" spans="1:14" ht="15" hidden="1" customHeight="1" x14ac:dyDescent="0.25">
      <c r="A1074" s="77">
        <v>32.01</v>
      </c>
      <c r="B1074" s="77"/>
      <c r="C1074" s="158" t="s">
        <v>1016</v>
      </c>
      <c r="D1074" s="78" t="s">
        <v>368</v>
      </c>
      <c r="E1074" s="168" t="s">
        <v>1172</v>
      </c>
      <c r="F1074" s="163"/>
      <c r="G1074" s="115">
        <v>93.5</v>
      </c>
      <c r="H1074" s="247">
        <v>98.5</v>
      </c>
      <c r="I1074" s="77"/>
      <c r="J1074" s="77" t="s">
        <v>905</v>
      </c>
      <c r="K1074" s="93">
        <v>45291</v>
      </c>
      <c r="L1074" s="77" t="s">
        <v>371</v>
      </c>
      <c r="M1074" s="77" t="s">
        <v>372</v>
      </c>
      <c r="N1074" s="94" t="s">
        <v>373</v>
      </c>
    </row>
    <row r="1075" spans="1:14" ht="15" hidden="1" customHeight="1" x14ac:dyDescent="0.25">
      <c r="A1075" s="77">
        <v>33.01</v>
      </c>
      <c r="B1075" s="77"/>
      <c r="C1075" s="158" t="s">
        <v>1018</v>
      </c>
      <c r="D1075" s="78" t="s">
        <v>368</v>
      </c>
      <c r="E1075" s="168" t="s">
        <v>1173</v>
      </c>
      <c r="F1075" s="163"/>
      <c r="G1075" s="115">
        <v>109.46</v>
      </c>
      <c r="H1075" s="247">
        <v>114.46</v>
      </c>
      <c r="I1075" s="77"/>
      <c r="J1075" s="77" t="s">
        <v>905</v>
      </c>
      <c r="K1075" s="93">
        <v>45291</v>
      </c>
      <c r="L1075" s="77" t="s">
        <v>371</v>
      </c>
      <c r="M1075" s="77" t="s">
        <v>372</v>
      </c>
      <c r="N1075" s="94" t="s">
        <v>373</v>
      </c>
    </row>
    <row r="1076" spans="1:14" ht="15" hidden="1" customHeight="1" x14ac:dyDescent="0.25">
      <c r="A1076" s="77">
        <v>43.02</v>
      </c>
      <c r="B1076" s="77"/>
      <c r="C1076" s="158" t="s">
        <v>1022</v>
      </c>
      <c r="D1076" s="78" t="s">
        <v>368</v>
      </c>
      <c r="E1076" s="168" t="s">
        <v>1174</v>
      </c>
      <c r="F1076" s="163"/>
      <c r="G1076" s="247">
        <v>223.5</v>
      </c>
      <c r="H1076" s="115">
        <v>218.5</v>
      </c>
      <c r="I1076" s="77"/>
      <c r="J1076" s="77" t="s">
        <v>905</v>
      </c>
      <c r="K1076" s="93">
        <v>45291</v>
      </c>
      <c r="L1076" s="97" t="s">
        <v>371</v>
      </c>
      <c r="M1076" s="97" t="s">
        <v>372</v>
      </c>
      <c r="N1076" s="579" t="s">
        <v>373</v>
      </c>
    </row>
    <row r="1077" spans="1:14" ht="15" hidden="1" customHeight="1" x14ac:dyDescent="0.25">
      <c r="A1077" s="77">
        <v>51.987923000000002</v>
      </c>
      <c r="B1077" s="77"/>
      <c r="C1077" s="158" t="s">
        <v>1036</v>
      </c>
      <c r="D1077" s="78" t="s">
        <v>368</v>
      </c>
      <c r="E1077" s="168" t="s">
        <v>1175</v>
      </c>
      <c r="F1077" s="163"/>
      <c r="G1077" s="115">
        <v>38</v>
      </c>
      <c r="H1077" s="247">
        <v>43</v>
      </c>
      <c r="I1077" s="77"/>
      <c r="J1077" s="77" t="s">
        <v>905</v>
      </c>
      <c r="K1077" s="93">
        <v>45291</v>
      </c>
      <c r="L1077" s="97" t="s">
        <v>371</v>
      </c>
      <c r="M1077" s="97" t="s">
        <v>372</v>
      </c>
      <c r="N1077" s="579" t="s">
        <v>373</v>
      </c>
    </row>
    <row r="1078" spans="1:14" ht="15" hidden="1" customHeight="1" x14ac:dyDescent="0.35">
      <c r="A1078" s="456" t="s">
        <v>131</v>
      </c>
      <c r="B1078" s="456"/>
      <c r="C1078" s="472" t="s">
        <v>1176</v>
      </c>
      <c r="D1078" s="142" t="s">
        <v>368</v>
      </c>
      <c r="E1078" s="168"/>
      <c r="F1078" s="163"/>
      <c r="G1078" s="530">
        <v>29.21</v>
      </c>
      <c r="H1078" s="530">
        <v>34.21</v>
      </c>
      <c r="I1078" s="140"/>
      <c r="J1078" s="140" t="s">
        <v>437</v>
      </c>
      <c r="K1078" s="545">
        <v>45291</v>
      </c>
      <c r="L1078" s="97" t="s">
        <v>965</v>
      </c>
      <c r="M1078" s="97" t="s">
        <v>372</v>
      </c>
      <c r="N1078" s="579" t="s">
        <v>940</v>
      </c>
    </row>
    <row r="1079" spans="1:14" ht="15" hidden="1" customHeight="1" x14ac:dyDescent="0.25">
      <c r="A1079" s="249" t="s">
        <v>131</v>
      </c>
      <c r="B1079" s="249"/>
      <c r="C1079" s="158" t="s">
        <v>935</v>
      </c>
      <c r="D1079" s="142" t="s">
        <v>368</v>
      </c>
      <c r="E1079" s="301" t="s">
        <v>1177</v>
      </c>
      <c r="F1079" s="163"/>
      <c r="G1079" s="247">
        <v>29.21</v>
      </c>
      <c r="H1079" s="247">
        <v>34.21</v>
      </c>
      <c r="I1079" s="77"/>
      <c r="J1079" s="77" t="s">
        <v>905</v>
      </c>
      <c r="K1079" s="93">
        <v>45291</v>
      </c>
      <c r="L1079" s="77" t="s">
        <v>371</v>
      </c>
      <c r="M1079" s="77" t="s">
        <v>372</v>
      </c>
      <c r="N1079" s="94" t="s">
        <v>373</v>
      </c>
    </row>
    <row r="1080" spans="1:14" ht="15" hidden="1" customHeight="1" x14ac:dyDescent="0.35">
      <c r="A1080" s="166" t="s">
        <v>134</v>
      </c>
      <c r="B1080" s="166"/>
      <c r="C1080" s="242" t="s">
        <v>135</v>
      </c>
      <c r="D1080" s="78" t="s">
        <v>368</v>
      </c>
      <c r="E1080" s="168" t="s">
        <v>369</v>
      </c>
      <c r="F1080" s="163"/>
      <c r="G1080" s="250">
        <v>36.25</v>
      </c>
      <c r="H1080" s="250">
        <v>41.25</v>
      </c>
      <c r="I1080" s="244"/>
      <c r="J1080" s="77" t="s">
        <v>973</v>
      </c>
      <c r="K1080" s="245">
        <v>45016</v>
      </c>
      <c r="L1080" s="77" t="s">
        <v>1042</v>
      </c>
      <c r="M1080" s="77" t="s">
        <v>100</v>
      </c>
      <c r="N1080" s="77" t="s">
        <v>443</v>
      </c>
    </row>
    <row r="1081" spans="1:14" ht="15" hidden="1" customHeight="1" x14ac:dyDescent="0.35">
      <c r="A1081" s="166" t="s">
        <v>134</v>
      </c>
      <c r="B1081" s="166"/>
      <c r="C1081" s="242" t="s">
        <v>135</v>
      </c>
      <c r="D1081" s="78" t="s">
        <v>368</v>
      </c>
      <c r="E1081" s="168" t="s">
        <v>369</v>
      </c>
      <c r="F1081" s="163"/>
      <c r="G1081" s="164">
        <v>39.5</v>
      </c>
      <c r="H1081" s="164">
        <v>44.5</v>
      </c>
      <c r="I1081" s="77"/>
      <c r="J1081" s="77" t="s">
        <v>1178</v>
      </c>
      <c r="K1081" s="245">
        <v>45016</v>
      </c>
      <c r="L1081" s="77" t="s">
        <v>917</v>
      </c>
      <c r="M1081" s="77" t="s">
        <v>372</v>
      </c>
      <c r="N1081" s="77" t="s">
        <v>443</v>
      </c>
    </row>
    <row r="1082" spans="1:14" ht="15" hidden="1" customHeight="1" x14ac:dyDescent="0.25">
      <c r="A1082" s="246" t="s">
        <v>134</v>
      </c>
      <c r="B1082" s="246"/>
      <c r="C1082" s="162" t="s">
        <v>425</v>
      </c>
      <c r="D1082" s="78" t="s">
        <v>368</v>
      </c>
      <c r="E1082" s="168" t="s">
        <v>369</v>
      </c>
      <c r="F1082" s="163"/>
      <c r="G1082" s="247">
        <v>36.25</v>
      </c>
      <c r="H1082" s="247">
        <v>41.25</v>
      </c>
      <c r="I1082" s="77"/>
      <c r="J1082" s="77" t="s">
        <v>382</v>
      </c>
      <c r="K1082" s="93">
        <v>45291</v>
      </c>
      <c r="L1082" s="77" t="s">
        <v>371</v>
      </c>
      <c r="M1082" s="77" t="s">
        <v>20</v>
      </c>
      <c r="N1082" s="94" t="s">
        <v>893</v>
      </c>
    </row>
    <row r="1083" spans="1:14" ht="15" hidden="1" customHeight="1" x14ac:dyDescent="0.35">
      <c r="A1083" s="166" t="s">
        <v>142</v>
      </c>
      <c r="B1083" s="166"/>
      <c r="C1083" s="242" t="s">
        <v>448</v>
      </c>
      <c r="D1083" s="78" t="s">
        <v>368</v>
      </c>
      <c r="E1083" s="167" t="s">
        <v>369</v>
      </c>
      <c r="F1083" s="163"/>
      <c r="G1083" s="164">
        <v>34.5</v>
      </c>
      <c r="H1083" s="164">
        <v>39.5</v>
      </c>
      <c r="I1083" s="244"/>
      <c r="J1083" s="77" t="s">
        <v>973</v>
      </c>
      <c r="K1083" s="245">
        <v>45016</v>
      </c>
      <c r="L1083" s="77" t="s">
        <v>1042</v>
      </c>
      <c r="M1083" s="77" t="s">
        <v>100</v>
      </c>
      <c r="N1083" s="77" t="s">
        <v>443</v>
      </c>
    </row>
    <row r="1084" spans="1:14" ht="15" hidden="1" customHeight="1" x14ac:dyDescent="0.25">
      <c r="A1084" s="441" t="s">
        <v>142</v>
      </c>
      <c r="B1084" s="441"/>
      <c r="C1084" s="461" t="s">
        <v>448</v>
      </c>
      <c r="D1084" s="142" t="s">
        <v>368</v>
      </c>
      <c r="E1084" s="167" t="s">
        <v>369</v>
      </c>
      <c r="F1084" s="163"/>
      <c r="G1084" s="492">
        <v>34.5</v>
      </c>
      <c r="H1084" s="492">
        <v>39.5</v>
      </c>
      <c r="I1084" s="77"/>
      <c r="J1084" s="140" t="s">
        <v>382</v>
      </c>
      <c r="K1084" s="545">
        <v>45291</v>
      </c>
      <c r="L1084" s="140" t="s">
        <v>371</v>
      </c>
      <c r="M1084" s="140" t="s">
        <v>20</v>
      </c>
      <c r="N1084" s="578" t="s">
        <v>893</v>
      </c>
    </row>
    <row r="1085" spans="1:14" ht="15" hidden="1" customHeight="1" x14ac:dyDescent="0.25">
      <c r="A1085" s="248" t="s">
        <v>142</v>
      </c>
      <c r="B1085" s="273"/>
      <c r="C1085" s="471" t="s">
        <v>448</v>
      </c>
      <c r="D1085" s="78" t="s">
        <v>368</v>
      </c>
      <c r="E1085" s="170" t="s">
        <v>369</v>
      </c>
      <c r="F1085" s="163"/>
      <c r="G1085" s="115">
        <v>31.049999999999997</v>
      </c>
      <c r="H1085" s="115">
        <v>36.049999999999997</v>
      </c>
      <c r="I1085" s="97"/>
      <c r="J1085" s="77" t="s">
        <v>907</v>
      </c>
      <c r="K1085" s="93">
        <v>45291</v>
      </c>
      <c r="L1085" s="77" t="s">
        <v>371</v>
      </c>
      <c r="M1085" s="77" t="s">
        <v>372</v>
      </c>
      <c r="N1085" s="94" t="s">
        <v>373</v>
      </c>
    </row>
    <row r="1086" spans="1:14" ht="15" hidden="1" customHeight="1" x14ac:dyDescent="0.25">
      <c r="A1086" s="249" t="s">
        <v>153</v>
      </c>
      <c r="B1086" s="249"/>
      <c r="C1086" s="158" t="s">
        <v>943</v>
      </c>
      <c r="D1086" s="78" t="s">
        <v>368</v>
      </c>
      <c r="E1086" s="170" t="s">
        <v>369</v>
      </c>
      <c r="F1086" s="163"/>
      <c r="G1086" s="115">
        <v>36.875999999999998</v>
      </c>
      <c r="H1086" s="247">
        <v>41.875999999999998</v>
      </c>
      <c r="I1086" s="541"/>
      <c r="J1086" s="77" t="s">
        <v>1024</v>
      </c>
      <c r="K1086" s="93">
        <v>45291</v>
      </c>
      <c r="L1086" s="77" t="s">
        <v>371</v>
      </c>
      <c r="M1086" s="77" t="s">
        <v>372</v>
      </c>
      <c r="N1086" s="94" t="s">
        <v>373</v>
      </c>
    </row>
    <row r="1087" spans="1:14" ht="15" hidden="1" customHeight="1" x14ac:dyDescent="0.25">
      <c r="A1087" s="453" t="s">
        <v>157</v>
      </c>
      <c r="B1087" s="453"/>
      <c r="C1087" s="469" t="s">
        <v>462</v>
      </c>
      <c r="D1087" s="142" t="s">
        <v>368</v>
      </c>
      <c r="E1087" s="78" t="s">
        <v>369</v>
      </c>
      <c r="F1087" s="163"/>
      <c r="G1087" s="525">
        <v>62.05</v>
      </c>
      <c r="H1087" s="525">
        <v>67.05</v>
      </c>
      <c r="I1087" s="140"/>
      <c r="J1087" s="140" t="s">
        <v>382</v>
      </c>
      <c r="K1087" s="545">
        <v>45291</v>
      </c>
      <c r="L1087" s="140" t="s">
        <v>371</v>
      </c>
      <c r="M1087" s="140" t="s">
        <v>20</v>
      </c>
      <c r="N1087" s="578" t="s">
        <v>893</v>
      </c>
    </row>
    <row r="1088" spans="1:14" ht="15.65" hidden="1" customHeight="1" x14ac:dyDescent="0.25">
      <c r="A1088" s="77" t="s">
        <v>157</v>
      </c>
      <c r="B1088" s="77"/>
      <c r="C1088" s="158" t="s">
        <v>462</v>
      </c>
      <c r="D1088" s="78" t="s">
        <v>368</v>
      </c>
      <c r="E1088" s="78" t="s">
        <v>369</v>
      </c>
      <c r="F1088" s="163"/>
      <c r="G1088" s="115">
        <v>60.029999999999994</v>
      </c>
      <c r="H1088" s="247">
        <v>65.03</v>
      </c>
      <c r="I1088" s="77"/>
      <c r="J1088" s="77" t="s">
        <v>370</v>
      </c>
      <c r="K1088" s="93">
        <v>45291</v>
      </c>
      <c r="L1088" s="77" t="s">
        <v>371</v>
      </c>
      <c r="M1088" s="77" t="s">
        <v>372</v>
      </c>
      <c r="N1088" s="94" t="s">
        <v>373</v>
      </c>
    </row>
    <row r="1089" spans="1:46" ht="15.65" hidden="1" customHeight="1" x14ac:dyDescent="0.25">
      <c r="A1089" s="248" t="s">
        <v>157</v>
      </c>
      <c r="B1089" s="248"/>
      <c r="C1089" s="158" t="s">
        <v>462</v>
      </c>
      <c r="D1089" s="78" t="s">
        <v>368</v>
      </c>
      <c r="E1089" s="78" t="s">
        <v>369</v>
      </c>
      <c r="F1089" s="163"/>
      <c r="G1089" s="115">
        <v>50.161000000000001</v>
      </c>
      <c r="H1089" s="247">
        <v>55.161000000000001</v>
      </c>
      <c r="I1089" s="77"/>
      <c r="J1089" s="77" t="s">
        <v>957</v>
      </c>
      <c r="K1089" s="93">
        <v>45291</v>
      </c>
      <c r="L1089" s="77" t="s">
        <v>371</v>
      </c>
      <c r="M1089" s="77" t="s">
        <v>372</v>
      </c>
      <c r="N1089" s="94" t="s">
        <v>373</v>
      </c>
    </row>
    <row r="1090" spans="1:46" ht="10.5" hidden="1" x14ac:dyDescent="0.35">
      <c r="A1090" s="440" t="s">
        <v>161</v>
      </c>
      <c r="B1090" s="440"/>
      <c r="C1090" s="242" t="s">
        <v>419</v>
      </c>
      <c r="D1090" s="78" t="s">
        <v>368</v>
      </c>
      <c r="E1090" s="150" t="s">
        <v>369</v>
      </c>
      <c r="F1090" s="163"/>
      <c r="G1090" s="250">
        <v>88.3</v>
      </c>
      <c r="H1090" s="250">
        <v>93.3</v>
      </c>
      <c r="I1090" s="244"/>
      <c r="J1090" s="77" t="s">
        <v>1179</v>
      </c>
      <c r="K1090" s="245">
        <v>45016</v>
      </c>
      <c r="L1090" s="77" t="s">
        <v>1042</v>
      </c>
      <c r="M1090" s="77" t="s">
        <v>100</v>
      </c>
      <c r="N1090" s="77" t="s">
        <v>443</v>
      </c>
    </row>
    <row r="1091" spans="1:46" ht="15.65" hidden="1" customHeight="1" x14ac:dyDescent="0.25">
      <c r="A1091" s="246" t="s">
        <v>161</v>
      </c>
      <c r="B1091" s="246"/>
      <c r="C1091" s="162" t="s">
        <v>419</v>
      </c>
      <c r="D1091" s="78" t="s">
        <v>368</v>
      </c>
      <c r="E1091" s="150" t="s">
        <v>369</v>
      </c>
      <c r="F1091" s="163"/>
      <c r="G1091" s="247">
        <v>88.3</v>
      </c>
      <c r="H1091" s="247">
        <v>93.3</v>
      </c>
      <c r="I1091" s="77"/>
      <c r="J1091" s="77" t="s">
        <v>382</v>
      </c>
      <c r="K1091" s="93">
        <v>45291</v>
      </c>
      <c r="L1091" s="77" t="s">
        <v>371</v>
      </c>
      <c r="M1091" s="77" t="s">
        <v>20</v>
      </c>
      <c r="N1091" s="94" t="s">
        <v>893</v>
      </c>
    </row>
    <row r="1092" spans="1:46" ht="15.65" hidden="1" customHeight="1" x14ac:dyDescent="0.25">
      <c r="A1092" s="248" t="s">
        <v>192</v>
      </c>
      <c r="B1092" s="248"/>
      <c r="C1092" s="158" t="s">
        <v>961</v>
      </c>
      <c r="D1092" s="78" t="s">
        <v>368</v>
      </c>
      <c r="E1092" s="150" t="s">
        <v>369</v>
      </c>
      <c r="F1092" s="163"/>
      <c r="G1092" s="115">
        <v>54.647999999999996</v>
      </c>
      <c r="H1092" s="247">
        <v>59.647999999999996</v>
      </c>
      <c r="I1092" s="77"/>
      <c r="J1092" s="77" t="s">
        <v>907</v>
      </c>
      <c r="K1092" s="93" t="s">
        <v>1180</v>
      </c>
      <c r="L1092" s="77" t="s">
        <v>371</v>
      </c>
      <c r="M1092" s="77" t="s">
        <v>401</v>
      </c>
      <c r="N1092" s="94" t="s">
        <v>1181</v>
      </c>
    </row>
    <row r="1093" spans="1:46" ht="15.65" hidden="1" customHeight="1" x14ac:dyDescent="0.25">
      <c r="A1093" s="249" t="s">
        <v>200</v>
      </c>
      <c r="B1093" s="249"/>
      <c r="C1093" s="158" t="s">
        <v>518</v>
      </c>
      <c r="D1093" s="78" t="s">
        <v>368</v>
      </c>
      <c r="E1093" s="168" t="s">
        <v>1182</v>
      </c>
      <c r="F1093" s="163"/>
      <c r="G1093" s="247">
        <v>27.84</v>
      </c>
      <c r="H1093" s="247">
        <v>32.840000000000003</v>
      </c>
      <c r="I1093" s="255"/>
      <c r="J1093" s="77" t="s">
        <v>905</v>
      </c>
      <c r="K1093" s="545">
        <v>45291</v>
      </c>
      <c r="L1093" s="140" t="s">
        <v>371</v>
      </c>
      <c r="M1093" s="140" t="s">
        <v>372</v>
      </c>
      <c r="N1093" s="578" t="s">
        <v>373</v>
      </c>
    </row>
    <row r="1094" spans="1:46" ht="52.5" hidden="1" customHeight="1" x14ac:dyDescent="0.25">
      <c r="A1094" s="249" t="s">
        <v>235</v>
      </c>
      <c r="B1094" s="249"/>
      <c r="C1094" s="253" t="s">
        <v>549</v>
      </c>
      <c r="D1094" s="78" t="s">
        <v>368</v>
      </c>
      <c r="E1094" s="168" t="s">
        <v>1183</v>
      </c>
      <c r="F1094" s="163"/>
      <c r="G1094" s="247">
        <v>41.66</v>
      </c>
      <c r="H1094" s="247">
        <v>46.66</v>
      </c>
      <c r="I1094" s="255"/>
      <c r="J1094" s="77" t="s">
        <v>905</v>
      </c>
      <c r="K1094" s="93">
        <v>45291</v>
      </c>
      <c r="L1094" s="77" t="s">
        <v>371</v>
      </c>
      <c r="M1094" s="77" t="s">
        <v>372</v>
      </c>
      <c r="N1094" s="94" t="s">
        <v>373</v>
      </c>
    </row>
    <row r="1095" spans="1:46" ht="15.65" hidden="1" customHeight="1" x14ac:dyDescent="0.25">
      <c r="A1095" s="161" t="s">
        <v>296</v>
      </c>
      <c r="B1095" s="161"/>
      <c r="C1095" s="162" t="s">
        <v>675</v>
      </c>
      <c r="D1095" s="78" t="s">
        <v>368</v>
      </c>
      <c r="E1095" s="168" t="s">
        <v>1184</v>
      </c>
      <c r="F1095" s="77"/>
      <c r="G1095" s="247">
        <v>32.5</v>
      </c>
      <c r="H1095" s="247">
        <v>37.5</v>
      </c>
      <c r="I1095" s="77"/>
      <c r="J1095" s="77" t="s">
        <v>382</v>
      </c>
      <c r="K1095" s="93">
        <v>45291</v>
      </c>
      <c r="L1095" s="77" t="s">
        <v>371</v>
      </c>
      <c r="M1095" s="77" t="s">
        <v>20</v>
      </c>
      <c r="N1095" s="94" t="s">
        <v>1185</v>
      </c>
    </row>
    <row r="1096" spans="1:46" ht="15.65" hidden="1" customHeight="1" x14ac:dyDescent="0.25">
      <c r="A1096" s="246" t="s">
        <v>700</v>
      </c>
      <c r="B1096" s="246"/>
      <c r="C1096" s="162" t="s">
        <v>701</v>
      </c>
      <c r="D1096" s="78" t="s">
        <v>368</v>
      </c>
      <c r="E1096" s="78" t="s">
        <v>369</v>
      </c>
      <c r="F1096" s="77"/>
      <c r="G1096" s="247">
        <v>123.05</v>
      </c>
      <c r="H1096" s="247">
        <v>128.05000000000001</v>
      </c>
      <c r="I1096" s="77"/>
      <c r="J1096" s="77" t="s">
        <v>382</v>
      </c>
      <c r="K1096" s="93">
        <v>45291</v>
      </c>
      <c r="L1096" s="77" t="s">
        <v>371</v>
      </c>
      <c r="M1096" s="77" t="s">
        <v>20</v>
      </c>
      <c r="N1096" s="94" t="s">
        <v>893</v>
      </c>
    </row>
    <row r="1097" spans="1:46" ht="15.65" hidden="1" customHeight="1" x14ac:dyDescent="0.35">
      <c r="A1097" s="166" t="s">
        <v>423</v>
      </c>
      <c r="B1097" s="166"/>
      <c r="C1097" s="242" t="s">
        <v>1186</v>
      </c>
      <c r="D1097" s="78" t="s">
        <v>368</v>
      </c>
      <c r="E1097" s="167" t="s">
        <v>369</v>
      </c>
      <c r="F1097" s="163"/>
      <c r="G1097" s="164">
        <v>123.6</v>
      </c>
      <c r="H1097" s="164">
        <v>128.6</v>
      </c>
      <c r="I1097" s="244"/>
      <c r="J1097" s="77" t="s">
        <v>420</v>
      </c>
      <c r="K1097" s="245">
        <v>45016</v>
      </c>
      <c r="L1097" s="77" t="s">
        <v>1042</v>
      </c>
      <c r="M1097" s="77" t="s">
        <v>372</v>
      </c>
      <c r="N1097" s="77" t="s">
        <v>443</v>
      </c>
    </row>
    <row r="1098" spans="1:46" ht="15.65" hidden="1" customHeight="1" x14ac:dyDescent="0.25">
      <c r="A1098" s="246" t="s">
        <v>423</v>
      </c>
      <c r="B1098" s="246"/>
      <c r="C1098" s="162" t="s">
        <v>424</v>
      </c>
      <c r="D1098" s="78" t="s">
        <v>368</v>
      </c>
      <c r="E1098" s="167" t="s">
        <v>369</v>
      </c>
      <c r="F1098" s="163"/>
      <c r="G1098" s="247">
        <v>123.6</v>
      </c>
      <c r="H1098" s="247">
        <v>128.6</v>
      </c>
      <c r="I1098" s="77"/>
      <c r="J1098" s="77" t="s">
        <v>382</v>
      </c>
      <c r="K1098" s="93">
        <v>45291</v>
      </c>
      <c r="L1098" s="77" t="s">
        <v>371</v>
      </c>
      <c r="M1098" s="77" t="s">
        <v>20</v>
      </c>
      <c r="N1098" s="94" t="s">
        <v>893</v>
      </c>
    </row>
    <row r="1099" spans="1:46" ht="15.65" hidden="1" customHeight="1" x14ac:dyDescent="0.25">
      <c r="A1099" s="77" t="s">
        <v>867</v>
      </c>
      <c r="B1099" s="77"/>
      <c r="C1099" s="158" t="s">
        <v>1047</v>
      </c>
      <c r="D1099" s="78" t="s">
        <v>368</v>
      </c>
      <c r="E1099" s="168" t="s">
        <v>1187</v>
      </c>
      <c r="F1099" s="163"/>
      <c r="G1099" s="115">
        <v>51.74</v>
      </c>
      <c r="H1099" s="247">
        <v>56.74</v>
      </c>
      <c r="I1099" s="77"/>
      <c r="J1099" s="77" t="s">
        <v>905</v>
      </c>
      <c r="K1099" s="93">
        <v>45291</v>
      </c>
      <c r="L1099" s="77" t="s">
        <v>371</v>
      </c>
      <c r="M1099" s="77" t="s">
        <v>372</v>
      </c>
      <c r="N1099" s="94" t="s">
        <v>373</v>
      </c>
    </row>
    <row r="1100" spans="1:46" ht="15.65" hidden="1" customHeight="1" x14ac:dyDescent="0.35">
      <c r="A1100" s="166">
        <v>70.010000000000005</v>
      </c>
      <c r="B1100" s="166"/>
      <c r="C1100" s="166" t="s">
        <v>842</v>
      </c>
      <c r="D1100" s="78" t="s">
        <v>368</v>
      </c>
      <c r="E1100" s="287" t="s">
        <v>1180</v>
      </c>
      <c r="F1100" s="163"/>
      <c r="G1100" s="250">
        <v>35.950000000000003</v>
      </c>
      <c r="H1100" s="250">
        <v>40.950000000000003</v>
      </c>
      <c r="I1100" s="77"/>
      <c r="J1100" s="77" t="s">
        <v>382</v>
      </c>
      <c r="K1100" s="245">
        <v>45291</v>
      </c>
      <c r="L1100" s="77" t="s">
        <v>1080</v>
      </c>
      <c r="M1100" s="77" t="s">
        <v>20</v>
      </c>
      <c r="N1100" s="261" t="s">
        <v>1188</v>
      </c>
    </row>
    <row r="1101" spans="1:46" ht="15.65" hidden="1" customHeight="1" x14ac:dyDescent="0.25">
      <c r="A1101" s="444" t="s">
        <v>161</v>
      </c>
      <c r="B1101" s="444"/>
      <c r="C1101" s="461" t="s">
        <v>419</v>
      </c>
      <c r="D1101" s="78" t="s">
        <v>368</v>
      </c>
      <c r="E1101" s="157"/>
      <c r="F1101" s="163"/>
      <c r="G1101" s="164">
        <v>80</v>
      </c>
      <c r="H1101" s="164">
        <v>85</v>
      </c>
      <c r="I1101" s="77"/>
      <c r="J1101" s="77" t="s">
        <v>973</v>
      </c>
      <c r="K1101" s="93">
        <v>45291</v>
      </c>
      <c r="L1101" s="77" t="s">
        <v>1098</v>
      </c>
      <c r="M1101" s="77" t="s">
        <v>104</v>
      </c>
      <c r="N1101" s="272" t="s">
        <v>1189</v>
      </c>
    </row>
    <row r="1102" spans="1:46" ht="15.65" hidden="1" customHeight="1" x14ac:dyDescent="0.25">
      <c r="A1102" s="449" t="s">
        <v>423</v>
      </c>
      <c r="B1102" s="449"/>
      <c r="C1102" s="461" t="s">
        <v>424</v>
      </c>
      <c r="D1102" s="78" t="s">
        <v>368</v>
      </c>
      <c r="E1102" s="157" t="s">
        <v>369</v>
      </c>
      <c r="F1102" s="163"/>
      <c r="G1102" s="164">
        <v>115</v>
      </c>
      <c r="H1102" s="164">
        <v>120</v>
      </c>
      <c r="I1102" s="77"/>
      <c r="J1102" s="77" t="s">
        <v>973</v>
      </c>
      <c r="K1102" s="93">
        <v>45291</v>
      </c>
      <c r="L1102" s="77" t="s">
        <v>1092</v>
      </c>
      <c r="M1102" s="77" t="s">
        <v>104</v>
      </c>
      <c r="N1102" s="272" t="s">
        <v>1190</v>
      </c>
    </row>
    <row r="1103" spans="1:46" s="89" customFormat="1" ht="15.65" hidden="1" customHeight="1" x14ac:dyDescent="0.35">
      <c r="A1103" s="156" t="s">
        <v>45</v>
      </c>
      <c r="B1103" s="460"/>
      <c r="C1103" s="468" t="s">
        <v>750</v>
      </c>
      <c r="D1103" s="78" t="s">
        <v>368</v>
      </c>
      <c r="E1103" s="270"/>
      <c r="F1103" s="77"/>
      <c r="G1103" s="115">
        <v>40</v>
      </c>
      <c r="H1103" s="115">
        <v>45</v>
      </c>
      <c r="I1103" s="77"/>
      <c r="J1103" s="77" t="s">
        <v>56</v>
      </c>
      <c r="K1103" s="93">
        <v>45291</v>
      </c>
      <c r="L1103" s="77" t="s">
        <v>1191</v>
      </c>
      <c r="M1103" s="77" t="s">
        <v>104</v>
      </c>
      <c r="N1103" s="94"/>
      <c r="O1103" s="71"/>
      <c r="P1103" s="71"/>
      <c r="Q1103" s="71"/>
      <c r="R1103" s="71"/>
      <c r="S1103" s="71"/>
      <c r="T1103" s="71"/>
      <c r="U1103" s="71"/>
      <c r="V1103" s="71"/>
      <c r="W1103" s="71"/>
      <c r="X1103" s="71"/>
      <c r="Y1103" s="71"/>
      <c r="Z1103" s="71"/>
      <c r="AA1103" s="71"/>
      <c r="AB1103" s="71"/>
      <c r="AC1103" s="71"/>
      <c r="AD1103" s="71"/>
      <c r="AE1103" s="71"/>
      <c r="AF1103" s="71"/>
      <c r="AG1103" s="71"/>
      <c r="AH1103" s="71"/>
      <c r="AI1103" s="71"/>
      <c r="AJ1103" s="71"/>
      <c r="AK1103" s="71"/>
      <c r="AL1103" s="71"/>
      <c r="AM1103" s="71"/>
      <c r="AN1103" s="71"/>
      <c r="AO1103" s="71"/>
      <c r="AP1103" s="71"/>
      <c r="AQ1103" s="71"/>
      <c r="AR1103" s="71"/>
      <c r="AS1103" s="71"/>
      <c r="AT1103" s="71"/>
    </row>
    <row r="1104" spans="1:46" s="89" customFormat="1" ht="15.65" hidden="1" customHeight="1" x14ac:dyDescent="0.35">
      <c r="A1104" s="156" t="s">
        <v>1192</v>
      </c>
      <c r="B1104" s="460"/>
      <c r="C1104" s="468" t="s">
        <v>120</v>
      </c>
      <c r="D1104" s="78" t="s">
        <v>368</v>
      </c>
      <c r="E1104" s="270"/>
      <c r="F1104" s="77"/>
      <c r="G1104" s="115">
        <v>30.95</v>
      </c>
      <c r="H1104" s="115">
        <v>35.950000000000003</v>
      </c>
      <c r="I1104" s="77"/>
      <c r="J1104" s="77" t="s">
        <v>56</v>
      </c>
      <c r="K1104" s="93">
        <v>45291</v>
      </c>
      <c r="L1104" s="77" t="s">
        <v>1193</v>
      </c>
      <c r="M1104" s="77" t="s">
        <v>104</v>
      </c>
      <c r="N1104" s="94"/>
      <c r="O1104" s="71"/>
      <c r="P1104" s="71"/>
      <c r="Q1104" s="71"/>
      <c r="R1104" s="71"/>
      <c r="S1104" s="71"/>
      <c r="T1104" s="71"/>
      <c r="U1104" s="71"/>
      <c r="V1104" s="71"/>
      <c r="W1104" s="71"/>
      <c r="X1104" s="71"/>
      <c r="Y1104" s="71"/>
      <c r="Z1104" s="71"/>
      <c r="AA1104" s="71"/>
      <c r="AB1104" s="71"/>
      <c r="AC1104" s="71"/>
      <c r="AD1104" s="71"/>
      <c r="AE1104" s="71"/>
      <c r="AF1104" s="71"/>
      <c r="AG1104" s="71"/>
      <c r="AH1104" s="71"/>
      <c r="AI1104" s="71"/>
      <c r="AJ1104" s="71"/>
      <c r="AK1104" s="71"/>
      <c r="AL1104" s="71"/>
      <c r="AM1104" s="71"/>
      <c r="AN1104" s="71"/>
      <c r="AO1104" s="71"/>
      <c r="AP1104" s="71"/>
      <c r="AQ1104" s="71"/>
      <c r="AR1104" s="71"/>
      <c r="AS1104" s="71"/>
      <c r="AT1104" s="71"/>
    </row>
    <row r="1105" spans="1:46" s="89" customFormat="1" ht="15.65" hidden="1" customHeight="1" x14ac:dyDescent="0.35">
      <c r="A1105" s="156" t="s">
        <v>1194</v>
      </c>
      <c r="B1105" s="460"/>
      <c r="C1105" s="468" t="s">
        <v>1195</v>
      </c>
      <c r="D1105" s="78" t="s">
        <v>368</v>
      </c>
      <c r="E1105" s="270"/>
      <c r="F1105" s="77"/>
      <c r="G1105" s="115">
        <v>576.15</v>
      </c>
      <c r="H1105" s="115">
        <v>581.15</v>
      </c>
      <c r="I1105" s="77"/>
      <c r="J1105" s="77" t="s">
        <v>56</v>
      </c>
      <c r="K1105" s="93">
        <v>45291</v>
      </c>
      <c r="L1105" s="77" t="s">
        <v>1193</v>
      </c>
      <c r="M1105" s="77" t="s">
        <v>104</v>
      </c>
      <c r="N1105" s="94" t="s">
        <v>1196</v>
      </c>
      <c r="O1105" s="71"/>
      <c r="P1105" s="71"/>
      <c r="Q1105" s="71"/>
      <c r="R1105" s="71"/>
      <c r="S1105" s="71"/>
      <c r="T1105" s="71"/>
      <c r="U1105" s="71"/>
      <c r="V1105" s="71"/>
      <c r="W1105" s="71"/>
      <c r="X1105" s="71"/>
      <c r="Y1105" s="71"/>
      <c r="Z1105" s="71"/>
      <c r="AA1105" s="71"/>
      <c r="AB1105" s="71"/>
      <c r="AC1105" s="71"/>
      <c r="AD1105" s="71"/>
      <c r="AE1105" s="71"/>
      <c r="AF1105" s="71"/>
      <c r="AG1105" s="71"/>
      <c r="AH1105" s="71"/>
      <c r="AI1105" s="71"/>
      <c r="AJ1105" s="71"/>
      <c r="AK1105" s="71"/>
      <c r="AL1105" s="71"/>
      <c r="AM1105" s="71"/>
      <c r="AN1105" s="71"/>
      <c r="AO1105" s="71"/>
      <c r="AP1105" s="71"/>
      <c r="AQ1105" s="71"/>
      <c r="AR1105" s="71"/>
      <c r="AS1105" s="71"/>
      <c r="AT1105" s="71"/>
    </row>
    <row r="1106" spans="1:46" ht="15.65" hidden="1" customHeight="1" x14ac:dyDescent="0.35">
      <c r="A1106" s="101">
        <v>22.037474</v>
      </c>
      <c r="B1106" s="101"/>
      <c r="C1106" s="101" t="s">
        <v>237</v>
      </c>
      <c r="D1106" s="168" t="s">
        <v>444</v>
      </c>
      <c r="E1106" s="170" t="s">
        <v>369</v>
      </c>
      <c r="F1106" s="267"/>
      <c r="G1106" s="288">
        <v>42</v>
      </c>
      <c r="H1106" s="288">
        <v>47</v>
      </c>
      <c r="I1106" s="267">
        <v>44926</v>
      </c>
      <c r="J1106" s="99" t="s">
        <v>1197</v>
      </c>
      <c r="K1106" s="267">
        <v>44926</v>
      </c>
      <c r="L1106" s="99" t="s">
        <v>1198</v>
      </c>
      <c r="M1106" s="99" t="s">
        <v>100</v>
      </c>
      <c r="N1106" s="108" t="s">
        <v>1005</v>
      </c>
    </row>
    <row r="1107" spans="1:46" ht="15.65" hidden="1" customHeight="1" x14ac:dyDescent="0.35">
      <c r="A1107" s="174">
        <v>22.497074999999999</v>
      </c>
      <c r="B1107" s="174"/>
      <c r="C1107" s="174" t="s">
        <v>426</v>
      </c>
      <c r="D1107" s="290" t="s">
        <v>444</v>
      </c>
      <c r="E1107" s="170" t="s">
        <v>369</v>
      </c>
      <c r="F1107" s="174"/>
      <c r="G1107" s="185">
        <v>36.25</v>
      </c>
      <c r="H1107" s="185">
        <f t="shared" ref="H1107:H1124" si="12">G1107+2.75</f>
        <v>39</v>
      </c>
      <c r="I1107" s="187"/>
      <c r="J1107" s="198" t="s">
        <v>428</v>
      </c>
      <c r="K1107" s="107">
        <v>44926</v>
      </c>
      <c r="L1107" s="99"/>
      <c r="M1107" s="99"/>
      <c r="N1107" s="173" t="s">
        <v>418</v>
      </c>
    </row>
    <row r="1108" spans="1:46" ht="15.65" hidden="1" customHeight="1" x14ac:dyDescent="0.35">
      <c r="A1108" s="174">
        <v>22.607013999999999</v>
      </c>
      <c r="B1108" s="174"/>
      <c r="C1108" s="174" t="s">
        <v>91</v>
      </c>
      <c r="D1108" s="290" t="s">
        <v>444</v>
      </c>
      <c r="E1108" s="170" t="s">
        <v>369</v>
      </c>
      <c r="F1108" s="174"/>
      <c r="G1108" s="185">
        <v>55</v>
      </c>
      <c r="H1108" s="185">
        <f t="shared" si="12"/>
        <v>57.75</v>
      </c>
      <c r="I1108" s="187"/>
      <c r="J1108" s="198" t="s">
        <v>428</v>
      </c>
      <c r="K1108" s="107">
        <v>44926</v>
      </c>
      <c r="L1108" s="99"/>
      <c r="M1108" s="99"/>
      <c r="N1108" s="173" t="s">
        <v>418</v>
      </c>
    </row>
    <row r="1109" spans="1:46" ht="15.65" hidden="1" customHeight="1" x14ac:dyDescent="0.35">
      <c r="A1109" s="183" t="s">
        <v>430</v>
      </c>
      <c r="B1109" s="183"/>
      <c r="C1109" s="184" t="s">
        <v>431</v>
      </c>
      <c r="D1109" s="168" t="s">
        <v>427</v>
      </c>
      <c r="E1109" s="168" t="s">
        <v>369</v>
      </c>
      <c r="F1109" s="174"/>
      <c r="G1109" s="185">
        <v>38.75</v>
      </c>
      <c r="H1109" s="185">
        <f t="shared" si="12"/>
        <v>41.5</v>
      </c>
      <c r="I1109" s="187"/>
      <c r="J1109" s="99" t="s">
        <v>428</v>
      </c>
      <c r="K1109" s="107">
        <v>44561</v>
      </c>
      <c r="L1109" s="99"/>
      <c r="M1109" s="99" t="s">
        <v>20</v>
      </c>
      <c r="N1109" s="99" t="s">
        <v>457</v>
      </c>
    </row>
    <row r="1110" spans="1:46" ht="15.65" hidden="1" customHeight="1" x14ac:dyDescent="0.35">
      <c r="A1110" s="183" t="s">
        <v>430</v>
      </c>
      <c r="B1110" s="407"/>
      <c r="C1110" s="310" t="s">
        <v>431</v>
      </c>
      <c r="D1110" s="168" t="s">
        <v>427</v>
      </c>
      <c r="E1110" s="168" t="s">
        <v>369</v>
      </c>
      <c r="F1110" s="174"/>
      <c r="G1110" s="185">
        <v>31.7</v>
      </c>
      <c r="H1110" s="185">
        <f t="shared" si="12"/>
        <v>34.450000000000003</v>
      </c>
      <c r="I1110" s="187"/>
      <c r="J1110" s="99" t="s">
        <v>432</v>
      </c>
      <c r="K1110" s="107">
        <v>44561</v>
      </c>
      <c r="L1110" s="169" t="s">
        <v>464</v>
      </c>
      <c r="M1110" s="99" t="s">
        <v>20</v>
      </c>
      <c r="N1110" s="99" t="s">
        <v>443</v>
      </c>
    </row>
    <row r="1111" spans="1:46" ht="15.65" hidden="1" customHeight="1" x14ac:dyDescent="0.35">
      <c r="A1111" s="183" t="s">
        <v>430</v>
      </c>
      <c r="B1111" s="407"/>
      <c r="C1111" s="310" t="s">
        <v>431</v>
      </c>
      <c r="D1111" s="168" t="s">
        <v>465</v>
      </c>
      <c r="E1111" s="170" t="s">
        <v>369</v>
      </c>
      <c r="F1111" s="174"/>
      <c r="G1111" s="185">
        <v>31.7</v>
      </c>
      <c r="H1111" s="185">
        <f t="shared" si="12"/>
        <v>34.450000000000003</v>
      </c>
      <c r="I1111" s="187"/>
      <c r="J1111" s="99" t="s">
        <v>432</v>
      </c>
      <c r="K1111" s="107">
        <v>44926</v>
      </c>
      <c r="L1111" s="169" t="s">
        <v>1199</v>
      </c>
      <c r="M1111" s="99" t="s">
        <v>20</v>
      </c>
      <c r="N1111" s="99" t="s">
        <v>458</v>
      </c>
    </row>
    <row r="1112" spans="1:46" ht="15.65" hidden="1" customHeight="1" x14ac:dyDescent="0.35">
      <c r="A1112" s="183" t="s">
        <v>430</v>
      </c>
      <c r="B1112" s="407"/>
      <c r="C1112" s="310" t="s">
        <v>431</v>
      </c>
      <c r="D1112" s="168" t="s">
        <v>465</v>
      </c>
      <c r="E1112" s="170" t="s">
        <v>369</v>
      </c>
      <c r="F1112" s="174"/>
      <c r="G1112" s="185">
        <v>40.69</v>
      </c>
      <c r="H1112" s="185">
        <f t="shared" si="12"/>
        <v>43.44</v>
      </c>
      <c r="I1112" s="187"/>
      <c r="J1112" s="99" t="s">
        <v>428</v>
      </c>
      <c r="K1112" s="107">
        <v>44926</v>
      </c>
      <c r="L1112" s="99"/>
      <c r="M1112" s="99" t="s">
        <v>20</v>
      </c>
      <c r="N1112" s="99" t="s">
        <v>1200</v>
      </c>
    </row>
    <row r="1113" spans="1:46" ht="15.65" hidden="1" customHeight="1" x14ac:dyDescent="0.35">
      <c r="A1113" s="299" t="s">
        <v>47</v>
      </c>
      <c r="B1113" s="299"/>
      <c r="C1113" s="300" t="s">
        <v>434</v>
      </c>
      <c r="D1113" s="301" t="s">
        <v>427</v>
      </c>
      <c r="E1113" s="301" t="s">
        <v>369</v>
      </c>
      <c r="F1113" s="174"/>
      <c r="G1113" s="302">
        <v>22.5</v>
      </c>
      <c r="H1113" s="302">
        <f t="shared" si="12"/>
        <v>25.25</v>
      </c>
      <c r="I1113" s="303"/>
      <c r="J1113" s="100" t="s">
        <v>428</v>
      </c>
      <c r="K1113" s="111">
        <v>44561</v>
      </c>
      <c r="L1113" s="309" t="s">
        <v>1201</v>
      </c>
      <c r="M1113" s="100"/>
      <c r="N1113" s="100" t="s">
        <v>443</v>
      </c>
    </row>
    <row r="1114" spans="1:46" ht="15.65" hidden="1" customHeight="1" x14ac:dyDescent="0.35">
      <c r="A1114" s="183" t="s">
        <v>47</v>
      </c>
      <c r="B1114" s="183"/>
      <c r="C1114" s="184" t="s">
        <v>434</v>
      </c>
      <c r="D1114" s="168" t="s">
        <v>444</v>
      </c>
      <c r="E1114" s="170" t="s">
        <v>369</v>
      </c>
      <c r="F1114" s="174"/>
      <c r="G1114" s="185">
        <v>22.5</v>
      </c>
      <c r="H1114" s="185">
        <f t="shared" si="12"/>
        <v>25.25</v>
      </c>
      <c r="I1114" s="187"/>
      <c r="J1114" s="99" t="s">
        <v>428</v>
      </c>
      <c r="K1114" s="107">
        <v>44926</v>
      </c>
      <c r="L1114" s="169"/>
      <c r="M1114" s="99"/>
      <c r="N1114" s="99" t="s">
        <v>418</v>
      </c>
    </row>
    <row r="1115" spans="1:46" ht="15.65" hidden="1" customHeight="1" x14ac:dyDescent="0.35">
      <c r="A1115" s="183" t="s">
        <v>435</v>
      </c>
      <c r="B1115" s="183"/>
      <c r="C1115" s="184" t="s">
        <v>436</v>
      </c>
      <c r="D1115" s="168" t="s">
        <v>465</v>
      </c>
      <c r="E1115" s="170" t="s">
        <v>369</v>
      </c>
      <c r="F1115" s="174"/>
      <c r="G1115" s="185">
        <v>23.8</v>
      </c>
      <c r="H1115" s="185">
        <f t="shared" si="12"/>
        <v>26.55</v>
      </c>
      <c r="I1115" s="187"/>
      <c r="J1115" s="99" t="s">
        <v>437</v>
      </c>
      <c r="K1115" s="107">
        <v>44926</v>
      </c>
      <c r="L1115" s="169"/>
      <c r="M1115" s="99" t="s">
        <v>624</v>
      </c>
      <c r="N1115" s="182" t="s">
        <v>418</v>
      </c>
    </row>
    <row r="1116" spans="1:46" ht="42" hidden="1" customHeight="1" x14ac:dyDescent="0.35">
      <c r="A1116" s="183" t="s">
        <v>435</v>
      </c>
      <c r="B1116" s="183"/>
      <c r="C1116" s="184" t="s">
        <v>436</v>
      </c>
      <c r="D1116" s="168" t="s">
        <v>465</v>
      </c>
      <c r="E1116" s="170" t="s">
        <v>369</v>
      </c>
      <c r="F1116" s="174"/>
      <c r="G1116" s="185">
        <v>23.8</v>
      </c>
      <c r="H1116" s="185">
        <f t="shared" si="12"/>
        <v>26.55</v>
      </c>
      <c r="I1116" s="187"/>
      <c r="J1116" s="99" t="s">
        <v>432</v>
      </c>
      <c r="K1116" s="107">
        <v>44834</v>
      </c>
      <c r="L1116" s="169" t="s">
        <v>1202</v>
      </c>
      <c r="M1116" s="99" t="s">
        <v>20</v>
      </c>
      <c r="N1116" s="182" t="s">
        <v>443</v>
      </c>
    </row>
    <row r="1117" spans="1:46" ht="15.65" hidden="1" customHeight="1" x14ac:dyDescent="0.35">
      <c r="A1117" s="183" t="s">
        <v>121</v>
      </c>
      <c r="B1117" s="183"/>
      <c r="C1117" s="184" t="s">
        <v>935</v>
      </c>
      <c r="D1117" s="168" t="s">
        <v>427</v>
      </c>
      <c r="E1117" s="170" t="s">
        <v>369</v>
      </c>
      <c r="F1117" s="174"/>
      <c r="G1117" s="185">
        <v>16.850000000000001</v>
      </c>
      <c r="H1117" s="185">
        <f t="shared" si="12"/>
        <v>19.600000000000001</v>
      </c>
      <c r="I1117" s="187"/>
      <c r="J1117" s="99" t="s">
        <v>428</v>
      </c>
      <c r="K1117" s="107">
        <v>44561</v>
      </c>
      <c r="L1117" s="99"/>
      <c r="M1117" s="99"/>
      <c r="N1117" s="99" t="s">
        <v>457</v>
      </c>
    </row>
    <row r="1118" spans="1:46" ht="15.65" hidden="1" customHeight="1" x14ac:dyDescent="0.35">
      <c r="A1118" s="183" t="s">
        <v>121</v>
      </c>
      <c r="B1118" s="183"/>
      <c r="C1118" s="184" t="s">
        <v>935</v>
      </c>
      <c r="D1118" s="168" t="s">
        <v>444</v>
      </c>
      <c r="E1118" s="170" t="s">
        <v>369</v>
      </c>
      <c r="F1118" s="174"/>
      <c r="G1118" s="185">
        <v>17.690000000000001</v>
      </c>
      <c r="H1118" s="185">
        <f t="shared" si="12"/>
        <v>20.440000000000001</v>
      </c>
      <c r="I1118" s="187"/>
      <c r="J1118" s="99" t="s">
        <v>428</v>
      </c>
      <c r="K1118" s="107">
        <v>44926</v>
      </c>
      <c r="L1118" s="99"/>
      <c r="M1118" s="99"/>
      <c r="N1118" s="99" t="s">
        <v>418</v>
      </c>
    </row>
    <row r="1119" spans="1:46" ht="15.65" hidden="1" customHeight="1" x14ac:dyDescent="0.35">
      <c r="A1119" s="183" t="s">
        <v>131</v>
      </c>
      <c r="B1119" s="183"/>
      <c r="C1119" s="184" t="s">
        <v>935</v>
      </c>
      <c r="D1119" s="168" t="s">
        <v>427</v>
      </c>
      <c r="E1119" s="168" t="s">
        <v>369</v>
      </c>
      <c r="F1119" s="174"/>
      <c r="G1119" s="185">
        <v>20</v>
      </c>
      <c r="H1119" s="185">
        <f t="shared" si="12"/>
        <v>22.75</v>
      </c>
      <c r="I1119" s="187"/>
      <c r="J1119" s="99" t="s">
        <v>428</v>
      </c>
      <c r="K1119" s="107">
        <v>44196</v>
      </c>
      <c r="L1119" s="99"/>
      <c r="M1119" s="100" t="s">
        <v>20</v>
      </c>
      <c r="N1119" s="100" t="s">
        <v>429</v>
      </c>
    </row>
    <row r="1120" spans="1:46" ht="15.65" hidden="1" customHeight="1" x14ac:dyDescent="0.35">
      <c r="A1120" s="299" t="s">
        <v>131</v>
      </c>
      <c r="B1120" s="299"/>
      <c r="C1120" s="300" t="s">
        <v>935</v>
      </c>
      <c r="D1120" s="301" t="s">
        <v>427</v>
      </c>
      <c r="E1120" s="301" t="s">
        <v>369</v>
      </c>
      <c r="F1120" s="174"/>
      <c r="G1120" s="302">
        <v>29.21</v>
      </c>
      <c r="H1120" s="302">
        <f t="shared" si="12"/>
        <v>31.96</v>
      </c>
      <c r="I1120" s="303"/>
      <c r="J1120" s="100" t="s">
        <v>437</v>
      </c>
      <c r="K1120" s="111">
        <v>44561</v>
      </c>
      <c r="L1120" s="312"/>
      <c r="M1120" s="313" t="s">
        <v>20</v>
      </c>
      <c r="N1120" s="313" t="s">
        <v>433</v>
      </c>
    </row>
    <row r="1121" spans="1:14" ht="10.5" hidden="1" x14ac:dyDescent="0.35">
      <c r="A1121" s="321" t="s">
        <v>131</v>
      </c>
      <c r="B1121" s="321"/>
      <c r="C1121" s="315" t="s">
        <v>935</v>
      </c>
      <c r="D1121" s="316" t="s">
        <v>427</v>
      </c>
      <c r="E1121" s="316" t="s">
        <v>369</v>
      </c>
      <c r="F1121" s="174"/>
      <c r="G1121" s="317">
        <v>20</v>
      </c>
      <c r="H1121" s="317">
        <f t="shared" si="12"/>
        <v>22.75</v>
      </c>
      <c r="I1121" s="318"/>
      <c r="J1121" s="313" t="s">
        <v>449</v>
      </c>
      <c r="K1121" s="319">
        <v>44561</v>
      </c>
      <c r="L1121" s="313"/>
      <c r="M1121" s="313" t="s">
        <v>20</v>
      </c>
      <c r="N1121" s="320" t="s">
        <v>457</v>
      </c>
    </row>
    <row r="1122" spans="1:14" ht="15.65" hidden="1" customHeight="1" x14ac:dyDescent="0.35">
      <c r="A1122" s="321" t="s">
        <v>131</v>
      </c>
      <c r="B1122" s="321"/>
      <c r="C1122" s="315" t="s">
        <v>935</v>
      </c>
      <c r="D1122" s="316" t="s">
        <v>465</v>
      </c>
      <c r="E1122" s="316" t="s">
        <v>369</v>
      </c>
      <c r="F1122" s="174"/>
      <c r="G1122" s="317">
        <v>29.21</v>
      </c>
      <c r="H1122" s="317">
        <f t="shared" si="12"/>
        <v>31.96</v>
      </c>
      <c r="I1122" s="318"/>
      <c r="J1122" s="313" t="s">
        <v>437</v>
      </c>
      <c r="K1122" s="319">
        <v>44926</v>
      </c>
      <c r="L1122" s="564" t="s">
        <v>1203</v>
      </c>
      <c r="M1122" s="313" t="s">
        <v>20</v>
      </c>
      <c r="N1122" s="313" t="s">
        <v>443</v>
      </c>
    </row>
    <row r="1123" spans="1:14" ht="10.5" hidden="1" x14ac:dyDescent="0.35">
      <c r="A1123" s="322" t="s">
        <v>131</v>
      </c>
      <c r="B1123" s="322"/>
      <c r="C1123" s="323" t="s">
        <v>935</v>
      </c>
      <c r="D1123" s="324" t="s">
        <v>444</v>
      </c>
      <c r="E1123" s="324" t="s">
        <v>369</v>
      </c>
      <c r="F1123" s="174"/>
      <c r="G1123" s="325">
        <v>29.21</v>
      </c>
      <c r="H1123" s="325">
        <f t="shared" si="12"/>
        <v>31.96</v>
      </c>
      <c r="I1123" s="326"/>
      <c r="J1123" s="327" t="s">
        <v>487</v>
      </c>
      <c r="K1123" s="328">
        <v>44926</v>
      </c>
      <c r="L1123" s="565" t="s">
        <v>1204</v>
      </c>
      <c r="M1123" s="327" t="s">
        <v>20</v>
      </c>
      <c r="N1123" s="327" t="s">
        <v>443</v>
      </c>
    </row>
    <row r="1124" spans="1:14" ht="15.65" hidden="1" customHeight="1" x14ac:dyDescent="0.35">
      <c r="A1124" s="183" t="s">
        <v>131</v>
      </c>
      <c r="B1124" s="183"/>
      <c r="C1124" s="184" t="s">
        <v>935</v>
      </c>
      <c r="D1124" s="168" t="s">
        <v>465</v>
      </c>
      <c r="E1124" s="168" t="s">
        <v>369</v>
      </c>
      <c r="F1124" s="174"/>
      <c r="G1124" s="185">
        <v>21</v>
      </c>
      <c r="H1124" s="185">
        <f t="shared" si="12"/>
        <v>23.75</v>
      </c>
      <c r="I1124" s="187"/>
      <c r="J1124" s="99" t="s">
        <v>449</v>
      </c>
      <c r="K1124" s="107">
        <v>44926</v>
      </c>
      <c r="L1124" s="99"/>
      <c r="M1124" s="99" t="s">
        <v>20</v>
      </c>
      <c r="N1124" s="99" t="s">
        <v>458</v>
      </c>
    </row>
    <row r="1125" spans="1:14" ht="15.65" hidden="1" customHeight="1" x14ac:dyDescent="0.25">
      <c r="A1125" s="451" t="s">
        <v>131</v>
      </c>
      <c r="B1125" s="451"/>
      <c r="C1125" s="466" t="s">
        <v>935</v>
      </c>
      <c r="D1125" s="301" t="s">
        <v>427</v>
      </c>
      <c r="E1125" s="301" t="s">
        <v>369</v>
      </c>
      <c r="F1125" s="174"/>
      <c r="G1125" s="522">
        <v>30.8</v>
      </c>
      <c r="H1125" s="522">
        <v>35.799999999999997</v>
      </c>
      <c r="I1125" s="100"/>
      <c r="J1125" s="100" t="s">
        <v>382</v>
      </c>
      <c r="K1125" s="111">
        <v>45291</v>
      </c>
      <c r="L1125" s="100" t="s">
        <v>371</v>
      </c>
      <c r="M1125" s="99" t="s">
        <v>20</v>
      </c>
      <c r="N1125" s="108" t="s">
        <v>893</v>
      </c>
    </row>
    <row r="1126" spans="1:14" ht="15.65" hidden="1" customHeight="1" x14ac:dyDescent="0.35">
      <c r="A1126" s="183" t="s">
        <v>134</v>
      </c>
      <c r="B1126" s="183"/>
      <c r="C1126" s="184" t="s">
        <v>425</v>
      </c>
      <c r="D1126" s="168" t="s">
        <v>427</v>
      </c>
      <c r="E1126" s="168" t="s">
        <v>369</v>
      </c>
      <c r="F1126" s="174"/>
      <c r="G1126" s="185">
        <v>30.8</v>
      </c>
      <c r="H1126" s="185">
        <f>G1126+2.75</f>
        <v>33.549999999999997</v>
      </c>
      <c r="I1126" s="187"/>
      <c r="J1126" s="99" t="s">
        <v>428</v>
      </c>
      <c r="K1126" s="107">
        <v>44561</v>
      </c>
      <c r="L1126" s="99"/>
      <c r="M1126" s="99"/>
      <c r="N1126" s="99" t="s">
        <v>457</v>
      </c>
    </row>
    <row r="1127" spans="1:14" ht="15.65" hidden="1" customHeight="1" x14ac:dyDescent="0.35">
      <c r="A1127" s="183" t="s">
        <v>134</v>
      </c>
      <c r="B1127" s="183"/>
      <c r="C1127" s="184" t="s">
        <v>425</v>
      </c>
      <c r="D1127" s="168" t="s">
        <v>427</v>
      </c>
      <c r="E1127" s="168" t="s">
        <v>369</v>
      </c>
      <c r="F1127" s="174"/>
      <c r="G1127" s="185">
        <v>34.4</v>
      </c>
      <c r="H1127" s="185">
        <f>G1127+2.75</f>
        <v>37.15</v>
      </c>
      <c r="I1127" s="187"/>
      <c r="J1127" s="99" t="s">
        <v>428</v>
      </c>
      <c r="K1127" s="107">
        <v>44712</v>
      </c>
      <c r="L1127" s="169" t="s">
        <v>1205</v>
      </c>
      <c r="M1127" s="99"/>
      <c r="N1127" s="99" t="s">
        <v>443</v>
      </c>
    </row>
    <row r="1128" spans="1:14" ht="15.65" hidden="1" customHeight="1" x14ac:dyDescent="0.35">
      <c r="A1128" s="183" t="s">
        <v>134</v>
      </c>
      <c r="B1128" s="183"/>
      <c r="C1128" s="184" t="s">
        <v>425</v>
      </c>
      <c r="D1128" s="168" t="s">
        <v>465</v>
      </c>
      <c r="E1128" s="168" t="s">
        <v>369</v>
      </c>
      <c r="F1128" s="174"/>
      <c r="G1128" s="185">
        <v>34.4</v>
      </c>
      <c r="H1128" s="171">
        <v>37.15</v>
      </c>
      <c r="I1128" s="187"/>
      <c r="J1128" s="99" t="s">
        <v>428</v>
      </c>
      <c r="K1128" s="107">
        <v>44926</v>
      </c>
      <c r="L1128" s="169" t="s">
        <v>1206</v>
      </c>
      <c r="M1128" s="99"/>
      <c r="N1128" s="99" t="s">
        <v>443</v>
      </c>
    </row>
    <row r="1129" spans="1:14" ht="15.65" hidden="1" customHeight="1" x14ac:dyDescent="0.35">
      <c r="A1129" s="183" t="s">
        <v>138</v>
      </c>
      <c r="B1129" s="183"/>
      <c r="C1129" s="184" t="s">
        <v>892</v>
      </c>
      <c r="D1129" s="168" t="s">
        <v>427</v>
      </c>
      <c r="E1129" s="168" t="s">
        <v>369</v>
      </c>
      <c r="F1129" s="174"/>
      <c r="G1129" s="185">
        <v>60.7</v>
      </c>
      <c r="H1129" s="185">
        <f t="shared" ref="H1129:H1151" si="13">G1129+2.75</f>
        <v>63.45</v>
      </c>
      <c r="I1129" s="186"/>
      <c r="J1129" s="99" t="s">
        <v>449</v>
      </c>
      <c r="K1129" s="107">
        <v>44561</v>
      </c>
      <c r="L1129" s="99" t="s">
        <v>494</v>
      </c>
      <c r="M1129" s="99" t="s">
        <v>20</v>
      </c>
      <c r="N1129" s="99" t="s">
        <v>457</v>
      </c>
    </row>
    <row r="1130" spans="1:14" ht="15.65" hidden="1" customHeight="1" x14ac:dyDescent="0.35">
      <c r="A1130" s="183" t="s">
        <v>138</v>
      </c>
      <c r="B1130" s="183"/>
      <c r="C1130" s="184" t="s">
        <v>892</v>
      </c>
      <c r="D1130" s="168" t="s">
        <v>427</v>
      </c>
      <c r="E1130" s="168" t="s">
        <v>369</v>
      </c>
      <c r="F1130" s="174"/>
      <c r="G1130" s="185">
        <v>60.7</v>
      </c>
      <c r="H1130" s="185">
        <f t="shared" si="13"/>
        <v>63.45</v>
      </c>
      <c r="I1130" s="186"/>
      <c r="J1130" s="99" t="s">
        <v>428</v>
      </c>
      <c r="K1130" s="107">
        <v>44196</v>
      </c>
      <c r="L1130" s="99"/>
      <c r="M1130" s="99" t="s">
        <v>20</v>
      </c>
      <c r="N1130" s="99" t="s">
        <v>645</v>
      </c>
    </row>
    <row r="1131" spans="1:14" ht="15.65" hidden="1" customHeight="1" x14ac:dyDescent="0.35">
      <c r="A1131" s="183" t="s">
        <v>138</v>
      </c>
      <c r="B1131" s="183"/>
      <c r="C1131" s="184" t="s">
        <v>892</v>
      </c>
      <c r="D1131" s="168" t="s">
        <v>444</v>
      </c>
      <c r="E1131" s="168" t="s">
        <v>369</v>
      </c>
      <c r="F1131" s="174"/>
      <c r="G1131" s="185">
        <v>60.7</v>
      </c>
      <c r="H1131" s="185">
        <f t="shared" si="13"/>
        <v>63.45</v>
      </c>
      <c r="I1131" s="187"/>
      <c r="J1131" s="99" t="s">
        <v>449</v>
      </c>
      <c r="K1131" s="107">
        <v>44926</v>
      </c>
      <c r="L1131" s="99"/>
      <c r="M1131" s="99" t="s">
        <v>20</v>
      </c>
      <c r="N1131" s="99" t="s">
        <v>418</v>
      </c>
    </row>
    <row r="1132" spans="1:14" ht="15.65" hidden="1" customHeight="1" x14ac:dyDescent="0.35">
      <c r="A1132" s="183" t="s">
        <v>138</v>
      </c>
      <c r="B1132" s="183"/>
      <c r="C1132" s="184" t="s">
        <v>892</v>
      </c>
      <c r="D1132" s="168" t="s">
        <v>444</v>
      </c>
      <c r="E1132" s="168" t="s">
        <v>369</v>
      </c>
      <c r="F1132" s="174"/>
      <c r="G1132" s="185">
        <v>60.7</v>
      </c>
      <c r="H1132" s="185">
        <f t="shared" si="13"/>
        <v>63.45</v>
      </c>
      <c r="I1132" s="187"/>
      <c r="J1132" s="99" t="s">
        <v>428</v>
      </c>
      <c r="K1132" s="107">
        <v>44926</v>
      </c>
      <c r="L1132" s="99"/>
      <c r="M1132" s="99" t="s">
        <v>20</v>
      </c>
      <c r="N1132" s="99" t="s">
        <v>418</v>
      </c>
    </row>
    <row r="1133" spans="1:14" ht="15.65" hidden="1" customHeight="1" x14ac:dyDescent="0.35">
      <c r="A1133" s="183" t="s">
        <v>1207</v>
      </c>
      <c r="B1133" s="183"/>
      <c r="C1133" s="184" t="s">
        <v>1161</v>
      </c>
      <c r="D1133" s="168" t="s">
        <v>427</v>
      </c>
      <c r="E1133" s="168" t="s">
        <v>369</v>
      </c>
      <c r="F1133" s="174"/>
      <c r="G1133" s="185">
        <v>59.55</v>
      </c>
      <c r="H1133" s="185">
        <f t="shared" si="13"/>
        <v>62.3</v>
      </c>
      <c r="I1133" s="187"/>
      <c r="J1133" s="99" t="s">
        <v>428</v>
      </c>
      <c r="K1133" s="107">
        <v>44561</v>
      </c>
      <c r="L1133" s="99"/>
      <c r="M1133" s="99"/>
      <c r="N1133" s="99" t="s">
        <v>457</v>
      </c>
    </row>
    <row r="1134" spans="1:14" ht="10.5" hidden="1" x14ac:dyDescent="0.35">
      <c r="A1134" s="183" t="s">
        <v>1207</v>
      </c>
      <c r="B1134" s="183"/>
      <c r="C1134" s="184" t="s">
        <v>1161</v>
      </c>
      <c r="D1134" s="168" t="s">
        <v>444</v>
      </c>
      <c r="E1134" s="170" t="s">
        <v>369</v>
      </c>
      <c r="F1134" s="174"/>
      <c r="G1134" s="185">
        <v>62.53</v>
      </c>
      <c r="H1134" s="185">
        <f t="shared" si="13"/>
        <v>65.28</v>
      </c>
      <c r="I1134" s="187"/>
      <c r="J1134" s="99" t="s">
        <v>428</v>
      </c>
      <c r="K1134" s="107">
        <v>44926</v>
      </c>
      <c r="L1134" s="99"/>
      <c r="M1134" s="99"/>
      <c r="N1134" s="99" t="s">
        <v>418</v>
      </c>
    </row>
    <row r="1135" spans="1:14" ht="10.5" hidden="1" x14ac:dyDescent="0.35">
      <c r="A1135" s="183" t="s">
        <v>142</v>
      </c>
      <c r="B1135" s="183"/>
      <c r="C1135" s="184" t="s">
        <v>448</v>
      </c>
      <c r="D1135" s="301" t="s">
        <v>427</v>
      </c>
      <c r="E1135" s="301" t="s">
        <v>369</v>
      </c>
      <c r="F1135" s="174"/>
      <c r="G1135" s="302">
        <v>30</v>
      </c>
      <c r="H1135" s="302">
        <f t="shared" si="13"/>
        <v>32.75</v>
      </c>
      <c r="I1135" s="540"/>
      <c r="J1135" s="100" t="s">
        <v>428</v>
      </c>
      <c r="K1135" s="111">
        <v>44561</v>
      </c>
      <c r="L1135" s="100"/>
      <c r="M1135" s="100" t="s">
        <v>104</v>
      </c>
      <c r="N1135" s="100" t="s">
        <v>457</v>
      </c>
    </row>
    <row r="1136" spans="1:14" ht="15.65" hidden="1" customHeight="1" x14ac:dyDescent="0.35">
      <c r="A1136" s="183" t="s">
        <v>142</v>
      </c>
      <c r="B1136" s="183"/>
      <c r="C1136" s="184" t="s">
        <v>448</v>
      </c>
      <c r="D1136" s="168" t="s">
        <v>427</v>
      </c>
      <c r="E1136" s="168" t="s">
        <v>369</v>
      </c>
      <c r="F1136" s="174"/>
      <c r="G1136" s="185">
        <v>28.5</v>
      </c>
      <c r="H1136" s="185">
        <f t="shared" si="13"/>
        <v>31.25</v>
      </c>
      <c r="I1136" s="186"/>
      <c r="J1136" s="107" t="s">
        <v>449</v>
      </c>
      <c r="K1136" s="107">
        <v>44561</v>
      </c>
      <c r="L1136" s="99"/>
      <c r="M1136" s="99" t="s">
        <v>456</v>
      </c>
      <c r="N1136" s="99" t="s">
        <v>457</v>
      </c>
    </row>
    <row r="1137" spans="1:14" ht="39.65" hidden="1" customHeight="1" x14ac:dyDescent="0.35">
      <c r="A1137" s="183" t="s">
        <v>142</v>
      </c>
      <c r="B1137" s="183"/>
      <c r="C1137" s="184" t="s">
        <v>448</v>
      </c>
      <c r="D1137" s="168" t="s">
        <v>444</v>
      </c>
      <c r="E1137" s="167" t="s">
        <v>369</v>
      </c>
      <c r="F1137" s="174"/>
      <c r="G1137" s="185">
        <v>30</v>
      </c>
      <c r="H1137" s="185">
        <f t="shared" si="13"/>
        <v>32.75</v>
      </c>
      <c r="I1137" s="187"/>
      <c r="J1137" s="107" t="s">
        <v>449</v>
      </c>
      <c r="K1137" s="107">
        <v>44926</v>
      </c>
      <c r="L1137" s="99"/>
      <c r="M1137" s="99" t="s">
        <v>456</v>
      </c>
      <c r="N1137" s="99" t="s">
        <v>458</v>
      </c>
    </row>
    <row r="1138" spans="1:14" ht="15.65" hidden="1" customHeight="1" x14ac:dyDescent="0.35">
      <c r="A1138" s="183" t="s">
        <v>142</v>
      </c>
      <c r="B1138" s="183"/>
      <c r="C1138" s="184" t="s">
        <v>448</v>
      </c>
      <c r="D1138" s="168" t="s">
        <v>444</v>
      </c>
      <c r="E1138" s="167" t="s">
        <v>369</v>
      </c>
      <c r="F1138" s="174"/>
      <c r="G1138" s="185">
        <v>32.5</v>
      </c>
      <c r="H1138" s="185">
        <f t="shared" si="13"/>
        <v>35.25</v>
      </c>
      <c r="I1138" s="187"/>
      <c r="J1138" s="99" t="s">
        <v>428</v>
      </c>
      <c r="K1138" s="107">
        <v>44926</v>
      </c>
      <c r="L1138" s="99"/>
      <c r="M1138" s="99" t="s">
        <v>104</v>
      </c>
      <c r="N1138" s="99" t="s">
        <v>1200</v>
      </c>
    </row>
    <row r="1139" spans="1:14" ht="15.65" hidden="1" customHeight="1" x14ac:dyDescent="0.35">
      <c r="A1139" s="183" t="s">
        <v>146</v>
      </c>
      <c r="B1139" s="183"/>
      <c r="C1139" s="184" t="s">
        <v>942</v>
      </c>
      <c r="D1139" s="168" t="s">
        <v>427</v>
      </c>
      <c r="E1139" s="168" t="s">
        <v>369</v>
      </c>
      <c r="F1139" s="174"/>
      <c r="G1139" s="185">
        <v>40.85</v>
      </c>
      <c r="H1139" s="185">
        <f t="shared" si="13"/>
        <v>43.6</v>
      </c>
      <c r="I1139" s="186"/>
      <c r="J1139" s="99" t="s">
        <v>428</v>
      </c>
      <c r="K1139" s="107">
        <v>44196</v>
      </c>
      <c r="L1139" s="99"/>
      <c r="M1139" s="99" t="s">
        <v>104</v>
      </c>
      <c r="N1139" s="99" t="s">
        <v>429</v>
      </c>
    </row>
    <row r="1140" spans="1:14" ht="15.65" hidden="1" customHeight="1" x14ac:dyDescent="0.35">
      <c r="A1140" s="183" t="s">
        <v>146</v>
      </c>
      <c r="B1140" s="183"/>
      <c r="C1140" s="184" t="s">
        <v>942</v>
      </c>
      <c r="D1140" s="168" t="s">
        <v>444</v>
      </c>
      <c r="E1140" s="192" t="s">
        <v>369</v>
      </c>
      <c r="F1140" s="174"/>
      <c r="G1140" s="185">
        <v>48.1</v>
      </c>
      <c r="H1140" s="185">
        <f t="shared" si="13"/>
        <v>50.85</v>
      </c>
      <c r="I1140" s="187"/>
      <c r="J1140" s="99" t="s">
        <v>428</v>
      </c>
      <c r="K1140" s="107">
        <v>44926</v>
      </c>
      <c r="L1140" s="99"/>
      <c r="M1140" s="99" t="s">
        <v>104</v>
      </c>
      <c r="N1140" s="99" t="s">
        <v>418</v>
      </c>
    </row>
    <row r="1141" spans="1:14" ht="15.65" hidden="1" customHeight="1" x14ac:dyDescent="0.35">
      <c r="A1141" s="183" t="s">
        <v>153</v>
      </c>
      <c r="B1141" s="183"/>
      <c r="C1141" s="184" t="s">
        <v>943</v>
      </c>
      <c r="D1141" s="168" t="s">
        <v>427</v>
      </c>
      <c r="E1141" s="168" t="s">
        <v>369</v>
      </c>
      <c r="F1141" s="174"/>
      <c r="G1141" s="185">
        <v>34.1</v>
      </c>
      <c r="H1141" s="185">
        <f t="shared" si="13"/>
        <v>36.85</v>
      </c>
      <c r="I1141" s="186"/>
      <c r="J1141" s="99" t="s">
        <v>491</v>
      </c>
      <c r="K1141" s="107">
        <v>44561</v>
      </c>
      <c r="L1141" s="99"/>
      <c r="M1141" s="99" t="s">
        <v>20</v>
      </c>
      <c r="N1141" s="99" t="s">
        <v>457</v>
      </c>
    </row>
    <row r="1142" spans="1:14" ht="15.65" hidden="1" customHeight="1" x14ac:dyDescent="0.35">
      <c r="A1142" s="183" t="s">
        <v>153</v>
      </c>
      <c r="B1142" s="183"/>
      <c r="C1142" s="184" t="s">
        <v>943</v>
      </c>
      <c r="D1142" s="168" t="s">
        <v>427</v>
      </c>
      <c r="E1142" s="168" t="s">
        <v>369</v>
      </c>
      <c r="F1142" s="174"/>
      <c r="G1142" s="185">
        <v>38.450000000000003</v>
      </c>
      <c r="H1142" s="185">
        <f t="shared" si="13"/>
        <v>41.2</v>
      </c>
      <c r="I1142" s="186"/>
      <c r="J1142" s="99" t="s">
        <v>428</v>
      </c>
      <c r="K1142" s="107">
        <v>44561</v>
      </c>
      <c r="L1142" s="99"/>
      <c r="M1142" s="99" t="s">
        <v>20</v>
      </c>
      <c r="N1142" s="99" t="s">
        <v>457</v>
      </c>
    </row>
    <row r="1143" spans="1:14" ht="15.65" hidden="1" customHeight="1" x14ac:dyDescent="0.35">
      <c r="A1143" s="183" t="s">
        <v>153</v>
      </c>
      <c r="B1143" s="183"/>
      <c r="C1143" s="184" t="s">
        <v>943</v>
      </c>
      <c r="D1143" s="168" t="s">
        <v>444</v>
      </c>
      <c r="E1143" s="168" t="s">
        <v>369</v>
      </c>
      <c r="F1143" s="174"/>
      <c r="G1143" s="185">
        <v>35.119999999999997</v>
      </c>
      <c r="H1143" s="185">
        <f t="shared" si="13"/>
        <v>37.869999999999997</v>
      </c>
      <c r="I1143" s="187"/>
      <c r="J1143" s="99" t="s">
        <v>491</v>
      </c>
      <c r="K1143" s="107">
        <v>44926</v>
      </c>
      <c r="L1143" s="169" t="s">
        <v>1208</v>
      </c>
      <c r="M1143" s="99" t="s">
        <v>20</v>
      </c>
      <c r="N1143" s="99" t="s">
        <v>443</v>
      </c>
    </row>
    <row r="1144" spans="1:14" ht="15.65" hidden="1" customHeight="1" x14ac:dyDescent="0.35">
      <c r="A1144" s="183" t="s">
        <v>153</v>
      </c>
      <c r="B1144" s="407"/>
      <c r="C1144" s="310" t="s">
        <v>943</v>
      </c>
      <c r="D1144" s="168" t="s">
        <v>444</v>
      </c>
      <c r="E1144" s="168" t="s">
        <v>369</v>
      </c>
      <c r="F1144" s="174"/>
      <c r="G1144" s="185">
        <v>38.450000000000003</v>
      </c>
      <c r="H1144" s="185">
        <f t="shared" si="13"/>
        <v>41.2</v>
      </c>
      <c r="I1144" s="187"/>
      <c r="J1144" s="99" t="s">
        <v>428</v>
      </c>
      <c r="K1144" s="107">
        <v>44926</v>
      </c>
      <c r="L1144" s="99"/>
      <c r="M1144" s="99" t="s">
        <v>20</v>
      </c>
      <c r="N1144" s="99" t="s">
        <v>418</v>
      </c>
    </row>
    <row r="1145" spans="1:14" ht="15.65" hidden="1" customHeight="1" x14ac:dyDescent="0.35">
      <c r="A1145" s="183" t="s">
        <v>945</v>
      </c>
      <c r="B1145" s="183"/>
      <c r="C1145" s="184" t="s">
        <v>1209</v>
      </c>
      <c r="D1145" s="168" t="s">
        <v>427</v>
      </c>
      <c r="E1145" s="168" t="s">
        <v>369</v>
      </c>
      <c r="F1145" s="174"/>
      <c r="G1145" s="185">
        <v>85.75</v>
      </c>
      <c r="H1145" s="185">
        <f t="shared" si="13"/>
        <v>88.5</v>
      </c>
      <c r="I1145" s="186"/>
      <c r="J1145" s="99" t="s">
        <v>428</v>
      </c>
      <c r="K1145" s="107">
        <v>44196</v>
      </c>
      <c r="L1145" s="99" t="s">
        <v>494</v>
      </c>
      <c r="M1145" s="99"/>
      <c r="N1145" s="99" t="s">
        <v>429</v>
      </c>
    </row>
    <row r="1146" spans="1:14" ht="15.65" hidden="1" customHeight="1" x14ac:dyDescent="0.35">
      <c r="A1146" s="443" t="s">
        <v>945</v>
      </c>
      <c r="B1146" s="443"/>
      <c r="C1146" s="463" t="s">
        <v>1209</v>
      </c>
      <c r="D1146" s="330" t="s">
        <v>444</v>
      </c>
      <c r="E1146" s="330" t="s">
        <v>369</v>
      </c>
      <c r="F1146" s="174"/>
      <c r="G1146" s="514">
        <v>85.75</v>
      </c>
      <c r="H1146" s="514">
        <f t="shared" si="13"/>
        <v>88.5</v>
      </c>
      <c r="I1146" s="538"/>
      <c r="J1146" s="89" t="s">
        <v>428</v>
      </c>
      <c r="K1146" s="552">
        <v>44926</v>
      </c>
      <c r="L1146" s="89"/>
      <c r="M1146" s="89"/>
      <c r="N1146" s="89" t="s">
        <v>418</v>
      </c>
    </row>
    <row r="1147" spans="1:14" ht="15.65" hidden="1" customHeight="1" x14ac:dyDescent="0.35">
      <c r="A1147" s="183" t="s">
        <v>945</v>
      </c>
      <c r="B1147" s="183"/>
      <c r="C1147" s="184" t="s">
        <v>1209</v>
      </c>
      <c r="D1147" s="168" t="s">
        <v>444</v>
      </c>
      <c r="E1147" s="168" t="s">
        <v>369</v>
      </c>
      <c r="F1147" s="174"/>
      <c r="G1147" s="185">
        <v>85.75</v>
      </c>
      <c r="H1147" s="185">
        <f t="shared" si="13"/>
        <v>88.5</v>
      </c>
      <c r="I1147" s="187"/>
      <c r="J1147" s="99" t="s">
        <v>432</v>
      </c>
      <c r="K1147" s="107">
        <v>44926</v>
      </c>
      <c r="L1147" s="169" t="s">
        <v>1210</v>
      </c>
      <c r="M1147" s="99"/>
      <c r="N1147" s="99" t="s">
        <v>443</v>
      </c>
    </row>
    <row r="1148" spans="1:14" ht="15.65" hidden="1" customHeight="1" x14ac:dyDescent="0.35">
      <c r="A1148" s="443" t="s">
        <v>157</v>
      </c>
      <c r="B1148" s="443"/>
      <c r="C1148" s="463" t="s">
        <v>462</v>
      </c>
      <c r="D1148" s="301" t="s">
        <v>427</v>
      </c>
      <c r="E1148" s="301" t="s">
        <v>369</v>
      </c>
      <c r="F1148" s="238"/>
      <c r="G1148" s="302">
        <v>46</v>
      </c>
      <c r="H1148" s="302">
        <f t="shared" si="13"/>
        <v>48.75</v>
      </c>
      <c r="I1148" s="540"/>
      <c r="J1148" s="100" t="s">
        <v>428</v>
      </c>
      <c r="K1148" s="111">
        <v>44196</v>
      </c>
      <c r="L1148" s="309" t="s">
        <v>1211</v>
      </c>
      <c r="M1148" s="100" t="s">
        <v>20</v>
      </c>
      <c r="N1148" s="100" t="s">
        <v>429</v>
      </c>
    </row>
    <row r="1149" spans="1:14" ht="15.65" hidden="1" customHeight="1" x14ac:dyDescent="0.35">
      <c r="A1149" s="183" t="s">
        <v>157</v>
      </c>
      <c r="B1149" s="183"/>
      <c r="C1149" s="184" t="s">
        <v>462</v>
      </c>
      <c r="D1149" s="168" t="s">
        <v>1212</v>
      </c>
      <c r="E1149" s="168" t="s">
        <v>369</v>
      </c>
      <c r="F1149" s="174"/>
      <c r="G1149" s="185">
        <v>46</v>
      </c>
      <c r="H1149" s="185">
        <f t="shared" si="13"/>
        <v>48.75</v>
      </c>
      <c r="I1149" s="186"/>
      <c r="J1149" s="99" t="s">
        <v>449</v>
      </c>
      <c r="K1149" s="107">
        <v>44561</v>
      </c>
      <c r="L1149" s="99"/>
      <c r="M1149" s="99" t="s">
        <v>20</v>
      </c>
      <c r="N1149" s="99" t="s">
        <v>457</v>
      </c>
    </row>
    <row r="1150" spans="1:14" ht="15.65" hidden="1" customHeight="1" x14ac:dyDescent="0.35">
      <c r="A1150" s="183" t="s">
        <v>157</v>
      </c>
      <c r="B1150" s="183"/>
      <c r="C1150" s="184" t="s">
        <v>462</v>
      </c>
      <c r="D1150" s="168" t="s">
        <v>1212</v>
      </c>
      <c r="E1150" s="168" t="s">
        <v>369</v>
      </c>
      <c r="F1150" s="174"/>
      <c r="G1150" s="185">
        <v>45.3</v>
      </c>
      <c r="H1150" s="185">
        <f t="shared" si="13"/>
        <v>48.05</v>
      </c>
      <c r="I1150" s="187"/>
      <c r="J1150" s="99" t="s">
        <v>449</v>
      </c>
      <c r="K1150" s="107">
        <v>44377</v>
      </c>
      <c r="L1150" s="169" t="s">
        <v>1213</v>
      </c>
      <c r="M1150" s="99" t="s">
        <v>20</v>
      </c>
      <c r="N1150" s="99" t="s">
        <v>439</v>
      </c>
    </row>
    <row r="1151" spans="1:14" ht="15.65" hidden="1" customHeight="1" x14ac:dyDescent="0.35">
      <c r="A1151" s="183" t="s">
        <v>161</v>
      </c>
      <c r="B1151" s="183"/>
      <c r="C1151" s="184" t="s">
        <v>419</v>
      </c>
      <c r="D1151" s="168" t="s">
        <v>427</v>
      </c>
      <c r="E1151" s="168" t="s">
        <v>369</v>
      </c>
      <c r="F1151" s="174"/>
      <c r="G1151" s="185">
        <v>83.35</v>
      </c>
      <c r="H1151" s="185">
        <f t="shared" si="13"/>
        <v>86.1</v>
      </c>
      <c r="I1151" s="186"/>
      <c r="J1151" s="99" t="s">
        <v>428</v>
      </c>
      <c r="K1151" s="107">
        <v>44561</v>
      </c>
      <c r="L1151" s="99"/>
      <c r="M1151" s="99" t="s">
        <v>20</v>
      </c>
      <c r="N1151" s="99" t="s">
        <v>457</v>
      </c>
    </row>
    <row r="1152" spans="1:14" ht="15.65" hidden="1" customHeight="1" x14ac:dyDescent="0.35">
      <c r="A1152" s="183" t="s">
        <v>161</v>
      </c>
      <c r="B1152" s="183"/>
      <c r="C1152" s="184" t="s">
        <v>419</v>
      </c>
      <c r="D1152" s="168" t="s">
        <v>427</v>
      </c>
      <c r="E1152" s="168" t="s">
        <v>369</v>
      </c>
      <c r="F1152" s="174"/>
      <c r="G1152" s="185">
        <v>30</v>
      </c>
      <c r="H1152" s="185">
        <v>32.75</v>
      </c>
      <c r="I1152" s="187"/>
      <c r="J1152" s="99" t="s">
        <v>1214</v>
      </c>
      <c r="K1152" s="107">
        <v>44316</v>
      </c>
      <c r="L1152" s="293" t="s">
        <v>1215</v>
      </c>
      <c r="M1152" s="99" t="s">
        <v>624</v>
      </c>
      <c r="N1152" s="99" t="s">
        <v>494</v>
      </c>
    </row>
    <row r="1153" spans="1:14" ht="15.65" hidden="1" customHeight="1" x14ac:dyDescent="0.35">
      <c r="A1153" s="183" t="s">
        <v>165</v>
      </c>
      <c r="B1153" s="183"/>
      <c r="C1153" s="184" t="s">
        <v>419</v>
      </c>
      <c r="D1153" s="168" t="s">
        <v>427</v>
      </c>
      <c r="E1153" s="168" t="s">
        <v>369</v>
      </c>
      <c r="F1153" s="174"/>
      <c r="G1153" s="185">
        <v>146.85</v>
      </c>
      <c r="H1153" s="185">
        <f>G1153+2.75</f>
        <v>149.6</v>
      </c>
      <c r="I1153" s="186"/>
      <c r="J1153" s="99" t="s">
        <v>428</v>
      </c>
      <c r="K1153" s="107">
        <v>44561</v>
      </c>
      <c r="L1153" s="99"/>
      <c r="M1153" s="99"/>
      <c r="N1153" s="99" t="s">
        <v>457</v>
      </c>
    </row>
    <row r="1154" spans="1:14" ht="15.65" hidden="1" customHeight="1" x14ac:dyDescent="0.35">
      <c r="A1154" s="183" t="s">
        <v>165</v>
      </c>
      <c r="B1154" s="183"/>
      <c r="C1154" s="184" t="s">
        <v>419</v>
      </c>
      <c r="D1154" s="168" t="s">
        <v>444</v>
      </c>
      <c r="E1154" s="168" t="s">
        <v>369</v>
      </c>
      <c r="F1154" s="174"/>
      <c r="G1154" s="185">
        <v>146.85</v>
      </c>
      <c r="H1154" s="185">
        <f>G1154+2.75</f>
        <v>149.6</v>
      </c>
      <c r="I1154" s="187"/>
      <c r="J1154" s="99" t="s">
        <v>428</v>
      </c>
      <c r="K1154" s="107">
        <v>44926</v>
      </c>
      <c r="L1154" s="99"/>
      <c r="M1154" s="99"/>
      <c r="N1154" s="99" t="s">
        <v>418</v>
      </c>
    </row>
    <row r="1155" spans="1:14" ht="15.65" hidden="1" customHeight="1" x14ac:dyDescent="0.35">
      <c r="A1155" s="183" t="s">
        <v>168</v>
      </c>
      <c r="B1155" s="183"/>
      <c r="C1155" s="184" t="s">
        <v>489</v>
      </c>
      <c r="D1155" s="168" t="s">
        <v>427</v>
      </c>
      <c r="E1155" s="330" t="s">
        <v>369</v>
      </c>
      <c r="F1155" s="174"/>
      <c r="G1155" s="185">
        <v>74.849999999999994</v>
      </c>
      <c r="H1155" s="117">
        <v>77.599999999999994</v>
      </c>
      <c r="I1155" s="193"/>
      <c r="J1155" s="107" t="s">
        <v>428</v>
      </c>
      <c r="K1155" s="107">
        <v>44561</v>
      </c>
      <c r="L1155" s="169" t="s">
        <v>1216</v>
      </c>
      <c r="M1155" s="99"/>
      <c r="N1155" s="173" t="s">
        <v>443</v>
      </c>
    </row>
    <row r="1156" spans="1:14" ht="15.65" hidden="1" customHeight="1" x14ac:dyDescent="0.35">
      <c r="A1156" s="183" t="s">
        <v>168</v>
      </c>
      <c r="B1156" s="183"/>
      <c r="C1156" s="184" t="s">
        <v>489</v>
      </c>
      <c r="D1156" s="168" t="s">
        <v>444</v>
      </c>
      <c r="E1156" s="330" t="s">
        <v>369</v>
      </c>
      <c r="F1156" s="174"/>
      <c r="G1156" s="185">
        <v>74.849999999999994</v>
      </c>
      <c r="H1156" s="117">
        <v>77.599999999999994</v>
      </c>
      <c r="I1156" s="190"/>
      <c r="J1156" s="107" t="s">
        <v>428</v>
      </c>
      <c r="K1156" s="107">
        <v>44926</v>
      </c>
      <c r="L1156" s="169"/>
      <c r="M1156" s="99"/>
      <c r="N1156" s="173" t="s">
        <v>418</v>
      </c>
    </row>
    <row r="1157" spans="1:14" ht="15.65" hidden="1" customHeight="1" x14ac:dyDescent="0.35">
      <c r="A1157" s="183" t="s">
        <v>172</v>
      </c>
      <c r="B1157" s="183"/>
      <c r="C1157" s="184" t="s">
        <v>490</v>
      </c>
      <c r="D1157" s="168" t="s">
        <v>427</v>
      </c>
      <c r="E1157" s="330" t="s">
        <v>369</v>
      </c>
      <c r="F1157" s="174"/>
      <c r="G1157" s="185">
        <v>144.94999999999999</v>
      </c>
      <c r="H1157" s="185">
        <f>G1157+2.75</f>
        <v>147.69999999999999</v>
      </c>
      <c r="I1157" s="186"/>
      <c r="J1157" s="99" t="s">
        <v>428</v>
      </c>
      <c r="K1157" s="107">
        <v>44196</v>
      </c>
      <c r="L1157" s="99"/>
      <c r="M1157" s="99" t="s">
        <v>20</v>
      </c>
      <c r="N1157" s="99" t="s">
        <v>457</v>
      </c>
    </row>
    <row r="1158" spans="1:14" ht="15.65" hidden="1" customHeight="1" x14ac:dyDescent="0.35">
      <c r="A1158" s="183" t="s">
        <v>172</v>
      </c>
      <c r="B1158" s="183"/>
      <c r="C1158" s="184" t="s">
        <v>490</v>
      </c>
      <c r="D1158" s="168" t="s">
        <v>465</v>
      </c>
      <c r="E1158" s="211" t="s">
        <v>369</v>
      </c>
      <c r="F1158" s="174"/>
      <c r="G1158" s="185">
        <v>140.4</v>
      </c>
      <c r="H1158" s="185">
        <f>G1158+2.75</f>
        <v>143.15</v>
      </c>
      <c r="I1158" s="187"/>
      <c r="J1158" s="99" t="s">
        <v>432</v>
      </c>
      <c r="K1158" s="107">
        <v>44651</v>
      </c>
      <c r="L1158" s="169" t="s">
        <v>464</v>
      </c>
      <c r="M1158" s="99" t="s">
        <v>20</v>
      </c>
      <c r="N1158" s="99" t="s">
        <v>439</v>
      </c>
    </row>
    <row r="1159" spans="1:14" ht="15.65" hidden="1" customHeight="1" x14ac:dyDescent="0.35">
      <c r="A1159" s="183" t="s">
        <v>172</v>
      </c>
      <c r="B1159" s="183"/>
      <c r="C1159" s="184" t="s">
        <v>490</v>
      </c>
      <c r="D1159" s="168" t="s">
        <v>465</v>
      </c>
      <c r="E1159" s="211" t="s">
        <v>369</v>
      </c>
      <c r="F1159" s="174"/>
      <c r="G1159" s="185">
        <v>144.94999999999999</v>
      </c>
      <c r="H1159" s="185">
        <v>147.69999999999999</v>
      </c>
      <c r="I1159" s="187"/>
      <c r="J1159" s="99" t="s">
        <v>428</v>
      </c>
      <c r="K1159" s="107">
        <v>44926</v>
      </c>
      <c r="L1159" s="99"/>
      <c r="M1159" s="99" t="s">
        <v>20</v>
      </c>
      <c r="N1159" s="99" t="s">
        <v>418</v>
      </c>
    </row>
    <row r="1160" spans="1:14" ht="15.65" hidden="1" customHeight="1" x14ac:dyDescent="0.35">
      <c r="A1160" s="183" t="s">
        <v>176</v>
      </c>
      <c r="B1160" s="183"/>
      <c r="C1160" s="184" t="s">
        <v>894</v>
      </c>
      <c r="D1160" s="168" t="s">
        <v>427</v>
      </c>
      <c r="E1160" s="330" t="s">
        <v>369</v>
      </c>
      <c r="F1160" s="174"/>
      <c r="G1160" s="185">
        <v>60.2</v>
      </c>
      <c r="H1160" s="185">
        <f t="shared" ref="H1160:H1171" si="14">G1160+2.75</f>
        <v>62.95</v>
      </c>
      <c r="I1160" s="186"/>
      <c r="J1160" s="99" t="s">
        <v>449</v>
      </c>
      <c r="K1160" s="107">
        <v>44561</v>
      </c>
      <c r="L1160" s="99"/>
      <c r="M1160" s="99" t="s">
        <v>20</v>
      </c>
      <c r="N1160" s="99" t="s">
        <v>457</v>
      </c>
    </row>
    <row r="1161" spans="1:14" ht="15.65" hidden="1" customHeight="1" x14ac:dyDescent="0.35">
      <c r="A1161" s="183" t="s">
        <v>176</v>
      </c>
      <c r="B1161" s="183"/>
      <c r="C1161" s="184" t="s">
        <v>894</v>
      </c>
      <c r="D1161" s="168" t="s">
        <v>1</v>
      </c>
      <c r="E1161" s="337" t="s">
        <v>369</v>
      </c>
      <c r="F1161" s="174"/>
      <c r="G1161" s="185">
        <v>79.8</v>
      </c>
      <c r="H1161" s="185">
        <f t="shared" si="14"/>
        <v>82.55</v>
      </c>
      <c r="I1161" s="186"/>
      <c r="J1161" s="99" t="s">
        <v>509</v>
      </c>
      <c r="K1161" s="107">
        <v>44561</v>
      </c>
      <c r="L1161" s="99"/>
      <c r="M1161" s="99" t="s">
        <v>20</v>
      </c>
      <c r="N1161" s="99" t="s">
        <v>457</v>
      </c>
    </row>
    <row r="1162" spans="1:14" ht="15.65" hidden="1" customHeight="1" x14ac:dyDescent="0.35">
      <c r="A1162" s="183" t="s">
        <v>176</v>
      </c>
      <c r="B1162" s="183"/>
      <c r="C1162" s="184" t="s">
        <v>894</v>
      </c>
      <c r="D1162" s="168" t="s">
        <v>427</v>
      </c>
      <c r="E1162" s="332" t="s">
        <v>369</v>
      </c>
      <c r="F1162" s="174"/>
      <c r="G1162" s="185">
        <v>96.7</v>
      </c>
      <c r="H1162" s="185">
        <f t="shared" si="14"/>
        <v>99.45</v>
      </c>
      <c r="I1162" s="186"/>
      <c r="J1162" s="99" t="s">
        <v>428</v>
      </c>
      <c r="K1162" s="107">
        <v>44561</v>
      </c>
      <c r="L1162" s="99"/>
      <c r="M1162" s="99" t="s">
        <v>20</v>
      </c>
      <c r="N1162" s="99" t="s">
        <v>457</v>
      </c>
    </row>
    <row r="1163" spans="1:14" ht="15.65" hidden="1" customHeight="1" x14ac:dyDescent="0.35">
      <c r="A1163" s="183" t="s">
        <v>176</v>
      </c>
      <c r="B1163" s="183"/>
      <c r="C1163" s="184" t="s">
        <v>894</v>
      </c>
      <c r="D1163" s="168" t="s">
        <v>444</v>
      </c>
      <c r="E1163" s="333" t="s">
        <v>369</v>
      </c>
      <c r="F1163" s="174"/>
      <c r="G1163" s="185">
        <v>96.7</v>
      </c>
      <c r="H1163" s="185">
        <f t="shared" si="14"/>
        <v>99.45</v>
      </c>
      <c r="I1163" s="187"/>
      <c r="J1163" s="99" t="s">
        <v>428</v>
      </c>
      <c r="K1163" s="107">
        <v>44926</v>
      </c>
      <c r="L1163" s="99"/>
      <c r="M1163" s="99" t="s">
        <v>20</v>
      </c>
      <c r="N1163" s="99" t="s">
        <v>418</v>
      </c>
    </row>
    <row r="1164" spans="1:14" ht="15.65" hidden="1" customHeight="1" x14ac:dyDescent="0.35">
      <c r="A1164" s="183" t="s">
        <v>176</v>
      </c>
      <c r="B1164" s="183"/>
      <c r="C1164" s="184" t="s">
        <v>894</v>
      </c>
      <c r="D1164" s="168" t="s">
        <v>444</v>
      </c>
      <c r="E1164" s="333" t="s">
        <v>369</v>
      </c>
      <c r="F1164" s="174"/>
      <c r="G1164" s="185">
        <v>60.2</v>
      </c>
      <c r="H1164" s="185">
        <f t="shared" si="14"/>
        <v>62.95</v>
      </c>
      <c r="I1164" s="187"/>
      <c r="J1164" s="99" t="s">
        <v>449</v>
      </c>
      <c r="K1164" s="107">
        <v>44926</v>
      </c>
      <c r="L1164" s="99"/>
      <c r="M1164" s="99" t="s">
        <v>20</v>
      </c>
      <c r="N1164" s="99" t="s">
        <v>458</v>
      </c>
    </row>
    <row r="1165" spans="1:14" ht="15.65" hidden="1" customHeight="1" x14ac:dyDescent="0.35">
      <c r="A1165" s="99" t="s">
        <v>180</v>
      </c>
      <c r="B1165" s="99"/>
      <c r="C1165" s="184" t="s">
        <v>492</v>
      </c>
      <c r="D1165" s="168" t="s">
        <v>444</v>
      </c>
      <c r="E1165" s="484" t="s">
        <v>369</v>
      </c>
      <c r="F1165" s="174"/>
      <c r="G1165" s="185">
        <v>101.35</v>
      </c>
      <c r="H1165" s="185">
        <f t="shared" si="14"/>
        <v>104.1</v>
      </c>
      <c r="I1165" s="187"/>
      <c r="J1165" s="99" t="s">
        <v>428</v>
      </c>
      <c r="K1165" s="107">
        <v>44926</v>
      </c>
      <c r="L1165" s="99"/>
      <c r="M1165" s="99"/>
      <c r="N1165" s="99" t="s">
        <v>418</v>
      </c>
    </row>
    <row r="1166" spans="1:14" ht="15.65" hidden="1" customHeight="1" x14ac:dyDescent="0.35">
      <c r="A1166" s="183" t="s">
        <v>184</v>
      </c>
      <c r="B1166" s="183"/>
      <c r="C1166" s="184" t="s">
        <v>493</v>
      </c>
      <c r="D1166" s="168" t="s">
        <v>427</v>
      </c>
      <c r="E1166" s="332" t="s">
        <v>369</v>
      </c>
      <c r="F1166" s="174"/>
      <c r="G1166" s="185">
        <v>58.95</v>
      </c>
      <c r="H1166" s="185">
        <f t="shared" si="14"/>
        <v>61.7</v>
      </c>
      <c r="I1166" s="186"/>
      <c r="J1166" s="99" t="s">
        <v>449</v>
      </c>
      <c r="K1166" s="107">
        <v>44561</v>
      </c>
      <c r="L1166" s="99"/>
      <c r="M1166" s="99" t="s">
        <v>20</v>
      </c>
      <c r="N1166" s="99" t="s">
        <v>457</v>
      </c>
    </row>
    <row r="1167" spans="1:14" ht="15.65" hidden="1" customHeight="1" x14ac:dyDescent="0.35">
      <c r="A1167" s="183" t="s">
        <v>184</v>
      </c>
      <c r="B1167" s="183"/>
      <c r="C1167" s="184" t="s">
        <v>493</v>
      </c>
      <c r="D1167" s="168" t="s">
        <v>427</v>
      </c>
      <c r="E1167" s="330" t="s">
        <v>369</v>
      </c>
      <c r="F1167" s="174"/>
      <c r="G1167" s="185">
        <v>120.5</v>
      </c>
      <c r="H1167" s="185">
        <f t="shared" si="14"/>
        <v>123.25</v>
      </c>
      <c r="I1167" s="186"/>
      <c r="J1167" s="99" t="s">
        <v>428</v>
      </c>
      <c r="K1167" s="107">
        <v>44561</v>
      </c>
      <c r="L1167" s="99"/>
      <c r="M1167" s="99" t="s">
        <v>20</v>
      </c>
      <c r="N1167" s="99" t="s">
        <v>457</v>
      </c>
    </row>
    <row r="1168" spans="1:14" ht="15.65" hidden="1" customHeight="1" x14ac:dyDescent="0.35">
      <c r="A1168" s="299" t="s">
        <v>184</v>
      </c>
      <c r="B1168" s="299"/>
      <c r="C1168" s="300" t="s">
        <v>493</v>
      </c>
      <c r="D1168" s="301" t="s">
        <v>427</v>
      </c>
      <c r="E1168" s="330" t="s">
        <v>369</v>
      </c>
      <c r="F1168" s="238"/>
      <c r="G1168" s="302">
        <v>48.46</v>
      </c>
      <c r="H1168" s="302">
        <f t="shared" si="14"/>
        <v>51.21</v>
      </c>
      <c r="I1168" s="303"/>
      <c r="J1168" s="100" t="s">
        <v>432</v>
      </c>
      <c r="K1168" s="111">
        <v>44561</v>
      </c>
      <c r="L1168" s="309" t="s">
        <v>1217</v>
      </c>
      <c r="M1168" s="100" t="s">
        <v>20</v>
      </c>
      <c r="N1168" s="100" t="s">
        <v>439</v>
      </c>
    </row>
    <row r="1169" spans="1:14" ht="15.65" hidden="1" customHeight="1" x14ac:dyDescent="0.35">
      <c r="A1169" s="183" t="s">
        <v>184</v>
      </c>
      <c r="B1169" s="183"/>
      <c r="C1169" s="184" t="s">
        <v>493</v>
      </c>
      <c r="D1169" s="168" t="s">
        <v>465</v>
      </c>
      <c r="E1169" s="168" t="s">
        <v>369</v>
      </c>
      <c r="F1169" s="174"/>
      <c r="G1169" s="185">
        <v>51.42</v>
      </c>
      <c r="H1169" s="185">
        <f t="shared" si="14"/>
        <v>54.17</v>
      </c>
      <c r="I1169" s="187"/>
      <c r="J1169" s="99" t="s">
        <v>432</v>
      </c>
      <c r="K1169" s="107">
        <v>44926</v>
      </c>
      <c r="L1169" s="169" t="s">
        <v>1218</v>
      </c>
      <c r="M1169" s="99" t="s">
        <v>20</v>
      </c>
      <c r="N1169" s="99" t="s">
        <v>439</v>
      </c>
    </row>
    <row r="1170" spans="1:14" ht="15.65" hidden="1" customHeight="1" x14ac:dyDescent="0.35">
      <c r="A1170" s="183" t="s">
        <v>184</v>
      </c>
      <c r="B1170" s="183"/>
      <c r="C1170" s="184" t="s">
        <v>493</v>
      </c>
      <c r="D1170" s="168" t="s">
        <v>444</v>
      </c>
      <c r="E1170" s="168" t="s">
        <v>369</v>
      </c>
      <c r="F1170" s="174"/>
      <c r="G1170" s="185">
        <v>120.5</v>
      </c>
      <c r="H1170" s="185">
        <f t="shared" si="14"/>
        <v>123.25</v>
      </c>
      <c r="I1170" s="187"/>
      <c r="J1170" s="99" t="s">
        <v>428</v>
      </c>
      <c r="K1170" s="107">
        <v>44926</v>
      </c>
      <c r="L1170" s="99"/>
      <c r="M1170" s="99" t="s">
        <v>20</v>
      </c>
      <c r="N1170" s="99" t="s">
        <v>418</v>
      </c>
    </row>
    <row r="1171" spans="1:14" ht="15.65" hidden="1" customHeight="1" x14ac:dyDescent="0.35">
      <c r="A1171" s="183" t="s">
        <v>184</v>
      </c>
      <c r="B1171" s="183"/>
      <c r="C1171" s="184" t="s">
        <v>493</v>
      </c>
      <c r="D1171" s="168" t="s">
        <v>444</v>
      </c>
      <c r="E1171" s="168" t="s">
        <v>369</v>
      </c>
      <c r="F1171" s="174"/>
      <c r="G1171" s="185">
        <v>61.9</v>
      </c>
      <c r="H1171" s="185">
        <f t="shared" si="14"/>
        <v>64.650000000000006</v>
      </c>
      <c r="I1171" s="187"/>
      <c r="J1171" s="99" t="s">
        <v>449</v>
      </c>
      <c r="K1171" s="107">
        <v>44926</v>
      </c>
      <c r="L1171" s="99"/>
      <c r="M1171" s="99" t="s">
        <v>20</v>
      </c>
      <c r="N1171" s="99" t="s">
        <v>458</v>
      </c>
    </row>
    <row r="1172" spans="1:14" ht="15.65" hidden="1" customHeight="1" x14ac:dyDescent="0.35">
      <c r="A1172" s="183" t="s">
        <v>184</v>
      </c>
      <c r="B1172" s="183"/>
      <c r="C1172" s="184" t="s">
        <v>493</v>
      </c>
      <c r="D1172" s="168" t="s">
        <v>444</v>
      </c>
      <c r="E1172" s="168" t="s">
        <v>369</v>
      </c>
      <c r="F1172" s="174"/>
      <c r="G1172" s="185">
        <v>120.5</v>
      </c>
      <c r="H1172" s="185">
        <v>123.25</v>
      </c>
      <c r="I1172" s="99" t="s">
        <v>428</v>
      </c>
      <c r="J1172" s="99" t="s">
        <v>509</v>
      </c>
      <c r="K1172" s="107">
        <v>44926</v>
      </c>
      <c r="L1172" s="99" t="s">
        <v>1219</v>
      </c>
      <c r="M1172" s="99" t="s">
        <v>20</v>
      </c>
      <c r="N1172" s="99" t="s">
        <v>418</v>
      </c>
    </row>
    <row r="1173" spans="1:14" ht="15.65" hidden="1" customHeight="1" x14ac:dyDescent="0.35">
      <c r="A1173" s="183" t="s">
        <v>188</v>
      </c>
      <c r="B1173" s="183"/>
      <c r="C1173" s="184" t="s">
        <v>959</v>
      </c>
      <c r="D1173" s="168" t="s">
        <v>427</v>
      </c>
      <c r="E1173" s="168" t="s">
        <v>369</v>
      </c>
      <c r="F1173" s="174"/>
      <c r="G1173" s="185">
        <v>98</v>
      </c>
      <c r="H1173" s="185">
        <f>G1173+2.75</f>
        <v>100.75</v>
      </c>
      <c r="I1173" s="186"/>
      <c r="J1173" s="99" t="s">
        <v>509</v>
      </c>
      <c r="K1173" s="107">
        <v>44561</v>
      </c>
      <c r="L1173" s="99"/>
      <c r="M1173" s="99" t="s">
        <v>20</v>
      </c>
      <c r="N1173" s="99" t="s">
        <v>457</v>
      </c>
    </row>
    <row r="1174" spans="1:14" ht="15.65" hidden="1" customHeight="1" x14ac:dyDescent="0.35">
      <c r="A1174" s="183" t="s">
        <v>188</v>
      </c>
      <c r="B1174" s="183"/>
      <c r="C1174" s="184" t="s">
        <v>959</v>
      </c>
      <c r="D1174" s="168" t="s">
        <v>427</v>
      </c>
      <c r="E1174" s="168" t="s">
        <v>369</v>
      </c>
      <c r="F1174" s="174"/>
      <c r="G1174" s="185">
        <v>98</v>
      </c>
      <c r="H1174" s="185">
        <f>G1174+2.75</f>
        <v>100.75</v>
      </c>
      <c r="I1174" s="186"/>
      <c r="J1174" s="99" t="s">
        <v>428</v>
      </c>
      <c r="K1174" s="107">
        <v>44196</v>
      </c>
      <c r="L1174" s="99"/>
      <c r="M1174" s="99" t="s">
        <v>20</v>
      </c>
      <c r="N1174" s="99" t="s">
        <v>429</v>
      </c>
    </row>
    <row r="1175" spans="1:14" ht="15.65" hidden="1" customHeight="1" x14ac:dyDescent="0.35">
      <c r="A1175" s="183" t="s">
        <v>188</v>
      </c>
      <c r="B1175" s="183"/>
      <c r="C1175" s="184" t="s">
        <v>959</v>
      </c>
      <c r="D1175" s="168" t="s">
        <v>444</v>
      </c>
      <c r="E1175" s="168" t="s">
        <v>369</v>
      </c>
      <c r="F1175" s="174"/>
      <c r="G1175" s="185">
        <v>98</v>
      </c>
      <c r="H1175" s="185">
        <f>G1175+2.75</f>
        <v>100.75</v>
      </c>
      <c r="I1175" s="187"/>
      <c r="J1175" s="99" t="s">
        <v>509</v>
      </c>
      <c r="K1175" s="107">
        <v>44926</v>
      </c>
      <c r="L1175" s="99"/>
      <c r="M1175" s="99" t="s">
        <v>20</v>
      </c>
      <c r="N1175" s="99" t="s">
        <v>458</v>
      </c>
    </row>
    <row r="1176" spans="1:14" ht="15.65" hidden="1" customHeight="1" x14ac:dyDescent="0.35">
      <c r="A1176" s="183" t="s">
        <v>188</v>
      </c>
      <c r="B1176" s="183"/>
      <c r="C1176" s="184" t="s">
        <v>959</v>
      </c>
      <c r="D1176" s="168" t="s">
        <v>444</v>
      </c>
      <c r="E1176" s="168" t="s">
        <v>369</v>
      </c>
      <c r="F1176" s="174"/>
      <c r="G1176" s="185">
        <v>98</v>
      </c>
      <c r="H1176" s="185">
        <f>G1176+2.75</f>
        <v>100.75</v>
      </c>
      <c r="I1176" s="187"/>
      <c r="J1176" s="99" t="s">
        <v>428</v>
      </c>
      <c r="K1176" s="107">
        <v>44926</v>
      </c>
      <c r="L1176" s="99"/>
      <c r="M1176" s="99" t="s">
        <v>20</v>
      </c>
      <c r="N1176" s="99" t="s">
        <v>418</v>
      </c>
    </row>
    <row r="1177" spans="1:14" ht="15.65" hidden="1" customHeight="1" x14ac:dyDescent="0.35">
      <c r="A1177" s="183" t="s">
        <v>113</v>
      </c>
      <c r="B1177" s="183"/>
      <c r="C1177" s="184" t="s">
        <v>114</v>
      </c>
      <c r="D1177" s="168" t="s">
        <v>444</v>
      </c>
      <c r="E1177" s="167" t="s">
        <v>369</v>
      </c>
      <c r="F1177" s="174"/>
      <c r="G1177" s="294">
        <v>158.75</v>
      </c>
      <c r="H1177" s="294">
        <f>G1177+2.75</f>
        <v>161.5</v>
      </c>
      <c r="I1177" s="295"/>
      <c r="J1177" s="99" t="s">
        <v>428</v>
      </c>
      <c r="K1177" s="107">
        <v>44926</v>
      </c>
      <c r="L1177" s="99"/>
      <c r="M1177" s="99"/>
      <c r="N1177" s="173" t="s">
        <v>418</v>
      </c>
    </row>
    <row r="1178" spans="1:14" ht="15.65" hidden="1" customHeight="1" x14ac:dyDescent="0.35">
      <c r="A1178" s="183" t="s">
        <v>113</v>
      </c>
      <c r="B1178" s="183"/>
      <c r="C1178" s="184" t="s">
        <v>114</v>
      </c>
      <c r="D1178" s="168" t="s">
        <v>465</v>
      </c>
      <c r="E1178" s="167" t="s">
        <v>369</v>
      </c>
      <c r="F1178" s="174"/>
      <c r="G1178" s="294">
        <v>158.75</v>
      </c>
      <c r="H1178" s="203">
        <v>161.5</v>
      </c>
      <c r="I1178" s="207"/>
      <c r="J1178" s="107" t="s">
        <v>449</v>
      </c>
      <c r="K1178" s="107">
        <v>44926</v>
      </c>
      <c r="L1178" s="99"/>
      <c r="M1178" s="99"/>
      <c r="N1178" s="173" t="s">
        <v>418</v>
      </c>
    </row>
    <row r="1179" spans="1:14" ht="15.65" hidden="1" customHeight="1" x14ac:dyDescent="0.35">
      <c r="A1179" s="183" t="s">
        <v>192</v>
      </c>
      <c r="B1179" s="183"/>
      <c r="C1179" s="184" t="s">
        <v>961</v>
      </c>
      <c r="D1179" s="168" t="s">
        <v>427</v>
      </c>
      <c r="E1179" s="168" t="s">
        <v>369</v>
      </c>
      <c r="F1179" s="174"/>
      <c r="G1179" s="185">
        <v>52.8</v>
      </c>
      <c r="H1179" s="185">
        <f>G1179+2.75</f>
        <v>55.55</v>
      </c>
      <c r="I1179" s="186"/>
      <c r="J1179" s="99" t="s">
        <v>449</v>
      </c>
      <c r="K1179" s="107">
        <v>44561</v>
      </c>
      <c r="L1179" s="99" t="s">
        <v>494</v>
      </c>
      <c r="M1179" s="99" t="s">
        <v>20</v>
      </c>
      <c r="N1179" s="99" t="s">
        <v>457</v>
      </c>
    </row>
    <row r="1180" spans="1:14" ht="15.65" hidden="1" customHeight="1" x14ac:dyDescent="0.35">
      <c r="A1180" s="183" t="s">
        <v>192</v>
      </c>
      <c r="B1180" s="183"/>
      <c r="C1180" s="184" t="s">
        <v>961</v>
      </c>
      <c r="D1180" s="168" t="s">
        <v>427</v>
      </c>
      <c r="E1180" s="150" t="s">
        <v>369</v>
      </c>
      <c r="F1180" s="174"/>
      <c r="G1180" s="185">
        <v>52.8</v>
      </c>
      <c r="H1180" s="185">
        <f>G1180+2.75</f>
        <v>55.55</v>
      </c>
      <c r="I1180" s="186"/>
      <c r="J1180" s="99" t="s">
        <v>428</v>
      </c>
      <c r="K1180" s="107">
        <v>44196</v>
      </c>
      <c r="L1180" s="99"/>
      <c r="M1180" s="99" t="s">
        <v>20</v>
      </c>
      <c r="N1180" s="99" t="s">
        <v>429</v>
      </c>
    </row>
    <row r="1181" spans="1:14" ht="15.65" hidden="1" customHeight="1" x14ac:dyDescent="0.35">
      <c r="A1181" s="183" t="s">
        <v>192</v>
      </c>
      <c r="B1181" s="183"/>
      <c r="C1181" s="184" t="s">
        <v>961</v>
      </c>
      <c r="D1181" s="168" t="s">
        <v>444</v>
      </c>
      <c r="E1181" s="150" t="s">
        <v>369</v>
      </c>
      <c r="F1181" s="174"/>
      <c r="G1181" s="185">
        <v>52.8</v>
      </c>
      <c r="H1181" s="185">
        <f>G1181+2.75</f>
        <v>55.55</v>
      </c>
      <c r="I1181" s="187"/>
      <c r="J1181" s="99" t="s">
        <v>449</v>
      </c>
      <c r="K1181" s="107">
        <v>44926</v>
      </c>
      <c r="L1181" s="99"/>
      <c r="M1181" s="99" t="s">
        <v>20</v>
      </c>
      <c r="N1181" s="99" t="s">
        <v>458</v>
      </c>
    </row>
    <row r="1182" spans="1:14" ht="15.65" hidden="1" customHeight="1" x14ac:dyDescent="0.35">
      <c r="A1182" s="183" t="s">
        <v>192</v>
      </c>
      <c r="B1182" s="183"/>
      <c r="C1182" s="184" t="s">
        <v>961</v>
      </c>
      <c r="D1182" s="168" t="s">
        <v>444</v>
      </c>
      <c r="E1182" s="150" t="s">
        <v>369</v>
      </c>
      <c r="F1182" s="174"/>
      <c r="G1182" s="185">
        <v>52.8</v>
      </c>
      <c r="H1182" s="185">
        <f>G1182+2.75</f>
        <v>55.55</v>
      </c>
      <c r="I1182" s="187"/>
      <c r="J1182" s="99" t="s">
        <v>428</v>
      </c>
      <c r="K1182" s="107">
        <v>44926</v>
      </c>
      <c r="L1182" s="99"/>
      <c r="M1182" s="99" t="s">
        <v>20</v>
      </c>
      <c r="N1182" s="99" t="s">
        <v>418</v>
      </c>
    </row>
    <row r="1183" spans="1:14" ht="15.65" hidden="1" customHeight="1" x14ac:dyDescent="0.35">
      <c r="A1183" s="183" t="s">
        <v>503</v>
      </c>
      <c r="B1183" s="183"/>
      <c r="C1183" s="184" t="s">
        <v>504</v>
      </c>
      <c r="D1183" s="168" t="s">
        <v>444</v>
      </c>
      <c r="E1183" s="150" t="s">
        <v>369</v>
      </c>
      <c r="F1183" s="174"/>
      <c r="G1183" s="185">
        <v>20.149999999999999</v>
      </c>
      <c r="H1183" s="185">
        <f>G1183+2.75</f>
        <v>22.9</v>
      </c>
      <c r="I1183" s="187"/>
      <c r="J1183" s="99" t="s">
        <v>428</v>
      </c>
      <c r="K1183" s="107">
        <v>44926</v>
      </c>
      <c r="L1183" s="99"/>
      <c r="M1183" s="99" t="s">
        <v>456</v>
      </c>
      <c r="N1183" s="99" t="s">
        <v>418</v>
      </c>
    </row>
    <row r="1184" spans="1:14" ht="15.65" hidden="1" customHeight="1" x14ac:dyDescent="0.35">
      <c r="A1184" s="183" t="s">
        <v>511</v>
      </c>
      <c r="B1184" s="183"/>
      <c r="C1184" s="184" t="s">
        <v>512</v>
      </c>
      <c r="D1184" s="168" t="s">
        <v>444</v>
      </c>
      <c r="E1184" s="170" t="s">
        <v>369</v>
      </c>
      <c r="F1184" s="174"/>
      <c r="G1184" s="296" t="s">
        <v>513</v>
      </c>
      <c r="H1184" s="185">
        <v>20</v>
      </c>
      <c r="I1184" s="187"/>
      <c r="J1184" s="99" t="s">
        <v>428</v>
      </c>
      <c r="K1184" s="107">
        <v>44926</v>
      </c>
      <c r="L1184" s="169" t="s">
        <v>1220</v>
      </c>
      <c r="M1184" s="99"/>
      <c r="N1184" s="182" t="s">
        <v>443</v>
      </c>
    </row>
    <row r="1185" spans="1:14" ht="15.65" hidden="1" customHeight="1" x14ac:dyDescent="0.35">
      <c r="A1185" s="183" t="s">
        <v>200</v>
      </c>
      <c r="B1185" s="183"/>
      <c r="C1185" s="184" t="s">
        <v>518</v>
      </c>
      <c r="D1185" s="168" t="s">
        <v>427</v>
      </c>
      <c r="E1185" s="170" t="s">
        <v>369</v>
      </c>
      <c r="F1185" s="174"/>
      <c r="G1185" s="185">
        <v>40.229999999999997</v>
      </c>
      <c r="H1185" s="185">
        <f t="shared" ref="H1185:H1203" si="15">G1185+2.75</f>
        <v>42.98</v>
      </c>
      <c r="I1185" s="187"/>
      <c r="J1185" s="99" t="s">
        <v>432</v>
      </c>
      <c r="K1185" s="107">
        <v>44561</v>
      </c>
      <c r="L1185" s="169" t="s">
        <v>464</v>
      </c>
      <c r="M1185" s="99" t="s">
        <v>20</v>
      </c>
      <c r="N1185" s="99" t="s">
        <v>1221</v>
      </c>
    </row>
    <row r="1186" spans="1:14" ht="15.65" hidden="1" customHeight="1" x14ac:dyDescent="0.35">
      <c r="A1186" s="183" t="s">
        <v>200</v>
      </c>
      <c r="B1186" s="183"/>
      <c r="C1186" s="184" t="s">
        <v>518</v>
      </c>
      <c r="D1186" s="168" t="s">
        <v>444</v>
      </c>
      <c r="E1186" s="170" t="s">
        <v>369</v>
      </c>
      <c r="F1186" s="174"/>
      <c r="G1186" s="185">
        <v>24.32</v>
      </c>
      <c r="H1186" s="185">
        <f t="shared" si="15"/>
        <v>27.07</v>
      </c>
      <c r="I1186" s="187"/>
      <c r="J1186" s="99" t="s">
        <v>437</v>
      </c>
      <c r="K1186" s="107">
        <v>44926</v>
      </c>
      <c r="L1186" s="169" t="s">
        <v>1222</v>
      </c>
      <c r="M1186" s="99" t="s">
        <v>20</v>
      </c>
      <c r="N1186" s="99" t="s">
        <v>1221</v>
      </c>
    </row>
    <row r="1187" spans="1:14" ht="15.65" hidden="1" customHeight="1" x14ac:dyDescent="0.35">
      <c r="A1187" s="183" t="s">
        <v>200</v>
      </c>
      <c r="B1187" s="183"/>
      <c r="C1187" s="184" t="s">
        <v>518</v>
      </c>
      <c r="D1187" s="168" t="s">
        <v>444</v>
      </c>
      <c r="E1187" s="170" t="s">
        <v>369</v>
      </c>
      <c r="F1187" s="174"/>
      <c r="G1187" s="185">
        <v>40.229999999999997</v>
      </c>
      <c r="H1187" s="185">
        <f t="shared" si="15"/>
        <v>42.98</v>
      </c>
      <c r="I1187" s="187"/>
      <c r="J1187" s="99" t="s">
        <v>432</v>
      </c>
      <c r="K1187" s="107">
        <v>44926</v>
      </c>
      <c r="L1187" s="169"/>
      <c r="M1187" s="99" t="s">
        <v>20</v>
      </c>
      <c r="N1187" s="99" t="s">
        <v>458</v>
      </c>
    </row>
    <row r="1188" spans="1:14" ht="15.65" hidden="1" customHeight="1" x14ac:dyDescent="0.35">
      <c r="A1188" s="183" t="s">
        <v>200</v>
      </c>
      <c r="B1188" s="183"/>
      <c r="C1188" s="184" t="s">
        <v>518</v>
      </c>
      <c r="D1188" s="168" t="s">
        <v>444</v>
      </c>
      <c r="E1188" s="170" t="s">
        <v>369</v>
      </c>
      <c r="F1188" s="174"/>
      <c r="G1188" s="185">
        <v>40.229999999999997</v>
      </c>
      <c r="H1188" s="185">
        <f t="shared" si="15"/>
        <v>42.98</v>
      </c>
      <c r="I1188" s="187"/>
      <c r="J1188" s="99" t="s">
        <v>428</v>
      </c>
      <c r="K1188" s="107">
        <v>44926</v>
      </c>
      <c r="L1188" s="99"/>
      <c r="M1188" s="99" t="s">
        <v>20</v>
      </c>
      <c r="N1188" s="99" t="s">
        <v>418</v>
      </c>
    </row>
    <row r="1189" spans="1:14" ht="15.65" hidden="1" customHeight="1" x14ac:dyDescent="0.35">
      <c r="A1189" s="183" t="s">
        <v>520</v>
      </c>
      <c r="B1189" s="183"/>
      <c r="C1189" s="184" t="s">
        <v>895</v>
      </c>
      <c r="D1189" s="168" t="s">
        <v>427</v>
      </c>
      <c r="E1189" s="168" t="s">
        <v>369</v>
      </c>
      <c r="F1189" s="174"/>
      <c r="G1189" s="196">
        <v>144.94999999999999</v>
      </c>
      <c r="H1189" s="196">
        <f t="shared" si="15"/>
        <v>147.69999999999999</v>
      </c>
      <c r="I1189" s="197"/>
      <c r="J1189" s="99" t="s">
        <v>428</v>
      </c>
      <c r="K1189" s="107">
        <v>44561</v>
      </c>
      <c r="L1189" s="99"/>
      <c r="M1189" s="99" t="s">
        <v>20</v>
      </c>
      <c r="N1189" s="99" t="s">
        <v>433</v>
      </c>
    </row>
    <row r="1190" spans="1:14" ht="15.65" hidden="1" customHeight="1" x14ac:dyDescent="0.35">
      <c r="A1190" s="183" t="s">
        <v>520</v>
      </c>
      <c r="B1190" s="183"/>
      <c r="C1190" s="184" t="s">
        <v>521</v>
      </c>
      <c r="D1190" s="168" t="s">
        <v>444</v>
      </c>
      <c r="E1190" s="170" t="s">
        <v>369</v>
      </c>
      <c r="F1190" s="174"/>
      <c r="G1190" s="185">
        <v>139.35</v>
      </c>
      <c r="H1190" s="185">
        <f t="shared" si="15"/>
        <v>142.1</v>
      </c>
      <c r="I1190" s="187"/>
      <c r="J1190" s="99" t="s">
        <v>432</v>
      </c>
      <c r="K1190" s="107">
        <v>44651</v>
      </c>
      <c r="L1190" s="169" t="s">
        <v>464</v>
      </c>
      <c r="M1190" s="99" t="s">
        <v>20</v>
      </c>
      <c r="N1190" s="99" t="s">
        <v>443</v>
      </c>
    </row>
    <row r="1191" spans="1:14" ht="15.65" hidden="1" customHeight="1" x14ac:dyDescent="0.35">
      <c r="A1191" s="183" t="s">
        <v>520</v>
      </c>
      <c r="B1191" s="183"/>
      <c r="C1191" s="184" t="s">
        <v>895</v>
      </c>
      <c r="D1191" s="168" t="s">
        <v>444</v>
      </c>
      <c r="E1191" s="170" t="s">
        <v>369</v>
      </c>
      <c r="F1191" s="174"/>
      <c r="G1191" s="196">
        <v>144.94999999999999</v>
      </c>
      <c r="H1191" s="196">
        <f t="shared" si="15"/>
        <v>147.69999999999999</v>
      </c>
      <c r="I1191" s="197"/>
      <c r="J1191" s="99" t="s">
        <v>428</v>
      </c>
      <c r="K1191" s="107">
        <v>44926</v>
      </c>
      <c r="L1191" s="99"/>
      <c r="M1191" s="99" t="s">
        <v>20</v>
      </c>
      <c r="N1191" s="99" t="s">
        <v>418</v>
      </c>
    </row>
    <row r="1192" spans="1:14" ht="15.65" hidden="1" customHeight="1" x14ac:dyDescent="0.35">
      <c r="A1192" s="99" t="s">
        <v>522</v>
      </c>
      <c r="B1192" s="99"/>
      <c r="C1192" s="184" t="s">
        <v>523</v>
      </c>
      <c r="D1192" s="168" t="s">
        <v>444</v>
      </c>
      <c r="E1192" s="167" t="s">
        <v>369</v>
      </c>
      <c r="F1192" s="174"/>
      <c r="G1192" s="185">
        <v>113.3</v>
      </c>
      <c r="H1192" s="185">
        <f t="shared" si="15"/>
        <v>116.05</v>
      </c>
      <c r="I1192" s="187"/>
      <c r="J1192" s="99" t="s">
        <v>428</v>
      </c>
      <c r="K1192" s="107">
        <v>44926</v>
      </c>
      <c r="L1192" s="169"/>
      <c r="M1192" s="99"/>
      <c r="N1192" s="173" t="s">
        <v>418</v>
      </c>
    </row>
    <row r="1193" spans="1:14" ht="15.65" hidden="1" customHeight="1" x14ac:dyDescent="0.35">
      <c r="A1193" s="183" t="s">
        <v>525</v>
      </c>
      <c r="B1193" s="183"/>
      <c r="C1193" s="184" t="s">
        <v>526</v>
      </c>
      <c r="D1193" s="168" t="s">
        <v>444</v>
      </c>
      <c r="E1193" s="167" t="s">
        <v>369</v>
      </c>
      <c r="F1193" s="174"/>
      <c r="G1193" s="185">
        <v>166.35</v>
      </c>
      <c r="H1193" s="185">
        <f t="shared" si="15"/>
        <v>169.1</v>
      </c>
      <c r="I1193" s="187"/>
      <c r="J1193" s="99" t="s">
        <v>428</v>
      </c>
      <c r="K1193" s="107">
        <v>44926</v>
      </c>
      <c r="L1193" s="99"/>
      <c r="M1193" s="99"/>
      <c r="N1193" s="99" t="s">
        <v>418</v>
      </c>
    </row>
    <row r="1194" spans="1:14" ht="15.65" hidden="1" customHeight="1" x14ac:dyDescent="0.35">
      <c r="A1194" s="183" t="s">
        <v>527</v>
      </c>
      <c r="B1194" s="183"/>
      <c r="C1194" s="184" t="s">
        <v>966</v>
      </c>
      <c r="D1194" s="168" t="s">
        <v>427</v>
      </c>
      <c r="E1194" s="168" t="s">
        <v>369</v>
      </c>
      <c r="F1194" s="174"/>
      <c r="G1194" s="185">
        <v>112.32</v>
      </c>
      <c r="H1194" s="185">
        <f t="shared" si="15"/>
        <v>115.07</v>
      </c>
      <c r="I1194" s="187"/>
      <c r="J1194" s="99" t="s">
        <v>437</v>
      </c>
      <c r="K1194" s="107">
        <v>44561</v>
      </c>
      <c r="L1194" s="99"/>
      <c r="M1194" s="99" t="s">
        <v>20</v>
      </c>
      <c r="N1194" s="99" t="s">
        <v>457</v>
      </c>
    </row>
    <row r="1195" spans="1:14" ht="15.65" hidden="1" customHeight="1" x14ac:dyDescent="0.35">
      <c r="A1195" s="183" t="s">
        <v>527</v>
      </c>
      <c r="B1195" s="183"/>
      <c r="C1195" s="184" t="s">
        <v>966</v>
      </c>
      <c r="D1195" s="168" t="s">
        <v>427</v>
      </c>
      <c r="E1195" s="168" t="s">
        <v>369</v>
      </c>
      <c r="F1195" s="174"/>
      <c r="G1195" s="185">
        <v>162</v>
      </c>
      <c r="H1195" s="185">
        <f t="shared" si="15"/>
        <v>164.75</v>
      </c>
      <c r="I1195" s="187"/>
      <c r="J1195" s="99" t="s">
        <v>428</v>
      </c>
      <c r="K1195" s="107">
        <v>44196</v>
      </c>
      <c r="L1195" s="99"/>
      <c r="M1195" s="99" t="s">
        <v>20</v>
      </c>
      <c r="N1195" s="99" t="s">
        <v>429</v>
      </c>
    </row>
    <row r="1196" spans="1:14" ht="15.65" hidden="1" customHeight="1" x14ac:dyDescent="0.35">
      <c r="A1196" s="183" t="s">
        <v>527</v>
      </c>
      <c r="B1196" s="183"/>
      <c r="C1196" s="184" t="s">
        <v>966</v>
      </c>
      <c r="D1196" s="168" t="s">
        <v>465</v>
      </c>
      <c r="E1196" s="206" t="s">
        <v>369</v>
      </c>
      <c r="F1196" s="174"/>
      <c r="G1196" s="185">
        <v>112.32</v>
      </c>
      <c r="H1196" s="185">
        <f t="shared" si="15"/>
        <v>115.07</v>
      </c>
      <c r="I1196" s="187"/>
      <c r="J1196" s="99" t="s">
        <v>437</v>
      </c>
      <c r="K1196" s="107">
        <v>44926</v>
      </c>
      <c r="L1196" s="169" t="s">
        <v>1203</v>
      </c>
      <c r="M1196" s="99" t="s">
        <v>20</v>
      </c>
      <c r="N1196" s="99" t="s">
        <v>443</v>
      </c>
    </row>
    <row r="1197" spans="1:14" ht="15.65" hidden="1" customHeight="1" x14ac:dyDescent="0.35">
      <c r="A1197" s="183" t="s">
        <v>527</v>
      </c>
      <c r="B1197" s="183"/>
      <c r="C1197" s="184" t="s">
        <v>966</v>
      </c>
      <c r="D1197" s="168" t="s">
        <v>444</v>
      </c>
      <c r="E1197" s="206" t="s">
        <v>369</v>
      </c>
      <c r="F1197" s="174"/>
      <c r="G1197" s="185">
        <v>185.2</v>
      </c>
      <c r="H1197" s="185">
        <f t="shared" si="15"/>
        <v>187.95</v>
      </c>
      <c r="I1197" s="187"/>
      <c r="J1197" s="99" t="s">
        <v>428</v>
      </c>
      <c r="K1197" s="107">
        <v>44926</v>
      </c>
      <c r="L1197" s="99"/>
      <c r="M1197" s="99" t="s">
        <v>20</v>
      </c>
      <c r="N1197" s="99" t="s">
        <v>458</v>
      </c>
    </row>
    <row r="1198" spans="1:14" ht="15.65" hidden="1" customHeight="1" x14ac:dyDescent="0.35">
      <c r="A1198" s="183" t="s">
        <v>529</v>
      </c>
      <c r="B1198" s="183"/>
      <c r="C1198" s="184" t="s">
        <v>530</v>
      </c>
      <c r="D1198" s="168" t="s">
        <v>1</v>
      </c>
      <c r="E1198" s="167" t="s">
        <v>369</v>
      </c>
      <c r="F1198" s="174"/>
      <c r="G1198" s="185">
        <v>106.7</v>
      </c>
      <c r="H1198" s="185">
        <f t="shared" si="15"/>
        <v>109.45</v>
      </c>
      <c r="I1198" s="187"/>
      <c r="J1198" s="99" t="s">
        <v>449</v>
      </c>
      <c r="K1198" s="107">
        <v>44926</v>
      </c>
      <c r="L1198" s="99"/>
      <c r="M1198" s="99" t="s">
        <v>20</v>
      </c>
      <c r="N1198" s="99" t="s">
        <v>418</v>
      </c>
    </row>
    <row r="1199" spans="1:14" ht="15.65" hidden="1" customHeight="1" x14ac:dyDescent="0.35">
      <c r="A1199" s="183" t="s">
        <v>529</v>
      </c>
      <c r="B1199" s="183"/>
      <c r="C1199" s="184" t="s">
        <v>530</v>
      </c>
      <c r="D1199" s="168" t="s">
        <v>1</v>
      </c>
      <c r="E1199" s="167" t="s">
        <v>369</v>
      </c>
      <c r="F1199" s="174"/>
      <c r="G1199" s="185">
        <v>106.7</v>
      </c>
      <c r="H1199" s="185">
        <f t="shared" si="15"/>
        <v>109.45</v>
      </c>
      <c r="I1199" s="187"/>
      <c r="J1199" s="99" t="s">
        <v>428</v>
      </c>
      <c r="K1199" s="107">
        <v>44926</v>
      </c>
      <c r="L1199" s="99"/>
      <c r="M1199" s="99" t="s">
        <v>20</v>
      </c>
      <c r="N1199" s="99" t="s">
        <v>418</v>
      </c>
    </row>
    <row r="1200" spans="1:14" ht="15.65" hidden="1" customHeight="1" x14ac:dyDescent="0.35">
      <c r="A1200" s="183" t="s">
        <v>1223</v>
      </c>
      <c r="B1200" s="183"/>
      <c r="C1200" s="184" t="s">
        <v>1224</v>
      </c>
      <c r="D1200" s="168" t="s">
        <v>474</v>
      </c>
      <c r="E1200" s="170" t="s">
        <v>369</v>
      </c>
      <c r="F1200" s="174"/>
      <c r="G1200" s="185">
        <v>122.8</v>
      </c>
      <c r="H1200" s="185">
        <f t="shared" si="15"/>
        <v>125.55</v>
      </c>
      <c r="I1200" s="186"/>
      <c r="J1200" s="99" t="s">
        <v>428</v>
      </c>
      <c r="K1200" s="199">
        <v>44196</v>
      </c>
      <c r="L1200" s="99" t="s">
        <v>494</v>
      </c>
      <c r="M1200" s="99"/>
      <c r="N1200" s="99" t="s">
        <v>429</v>
      </c>
    </row>
    <row r="1201" spans="1:14" ht="15.65" hidden="1" customHeight="1" x14ac:dyDescent="0.35">
      <c r="A1201" s="183" t="s">
        <v>967</v>
      </c>
      <c r="B1201" s="183"/>
      <c r="C1201" s="184" t="s">
        <v>904</v>
      </c>
      <c r="D1201" s="168" t="s">
        <v>427</v>
      </c>
      <c r="E1201" s="170" t="s">
        <v>369</v>
      </c>
      <c r="F1201" s="174"/>
      <c r="G1201" s="185">
        <v>30.3</v>
      </c>
      <c r="H1201" s="185">
        <f t="shared" si="15"/>
        <v>33.049999999999997</v>
      </c>
      <c r="I1201" s="187"/>
      <c r="J1201" s="99" t="s">
        <v>449</v>
      </c>
      <c r="K1201" s="107">
        <v>44561</v>
      </c>
      <c r="L1201" s="99"/>
      <c r="M1201" s="99" t="s">
        <v>20</v>
      </c>
      <c r="N1201" s="99" t="s">
        <v>457</v>
      </c>
    </row>
    <row r="1202" spans="1:14" ht="15.65" hidden="1" customHeight="1" x14ac:dyDescent="0.35">
      <c r="A1202" s="183" t="s">
        <v>967</v>
      </c>
      <c r="B1202" s="183"/>
      <c r="C1202" s="184" t="s">
        <v>904</v>
      </c>
      <c r="D1202" s="168" t="s">
        <v>427</v>
      </c>
      <c r="E1202" s="170" t="s">
        <v>369</v>
      </c>
      <c r="F1202" s="174"/>
      <c r="G1202" s="185">
        <v>54.81</v>
      </c>
      <c r="H1202" s="185">
        <f t="shared" si="15"/>
        <v>57.56</v>
      </c>
      <c r="I1202" s="187"/>
      <c r="J1202" s="99" t="s">
        <v>437</v>
      </c>
      <c r="K1202" s="107">
        <v>44196</v>
      </c>
      <c r="L1202" s="99"/>
      <c r="M1202" s="99" t="s">
        <v>20</v>
      </c>
      <c r="N1202" s="108" t="s">
        <v>519</v>
      </c>
    </row>
    <row r="1203" spans="1:14" ht="15.65" hidden="1" customHeight="1" x14ac:dyDescent="0.35">
      <c r="A1203" s="183" t="s">
        <v>967</v>
      </c>
      <c r="B1203" s="183"/>
      <c r="C1203" s="184" t="s">
        <v>904</v>
      </c>
      <c r="D1203" s="168" t="s">
        <v>427</v>
      </c>
      <c r="E1203" s="170" t="s">
        <v>369</v>
      </c>
      <c r="F1203" s="174"/>
      <c r="G1203" s="185">
        <v>65.849999999999994</v>
      </c>
      <c r="H1203" s="185">
        <f t="shared" si="15"/>
        <v>68.599999999999994</v>
      </c>
      <c r="I1203" s="187"/>
      <c r="J1203" s="99" t="s">
        <v>428</v>
      </c>
      <c r="K1203" s="107">
        <v>44561</v>
      </c>
      <c r="L1203" s="99"/>
      <c r="M1203" s="99" t="s">
        <v>20</v>
      </c>
      <c r="N1203" s="108" t="s">
        <v>457</v>
      </c>
    </row>
    <row r="1204" spans="1:14" ht="15.65" hidden="1" customHeight="1" x14ac:dyDescent="0.35">
      <c r="A1204" s="183" t="s">
        <v>967</v>
      </c>
      <c r="B1204" s="183"/>
      <c r="C1204" s="184" t="s">
        <v>904</v>
      </c>
      <c r="D1204" s="168" t="s">
        <v>427</v>
      </c>
      <c r="E1204" s="170" t="s">
        <v>369</v>
      </c>
      <c r="F1204" s="174"/>
      <c r="G1204" s="185">
        <v>52.14</v>
      </c>
      <c r="H1204" s="185">
        <v>54.89</v>
      </c>
      <c r="I1204" s="187"/>
      <c r="J1204" s="99" t="s">
        <v>432</v>
      </c>
      <c r="K1204" s="107">
        <v>44196</v>
      </c>
      <c r="L1204" s="99" t="s">
        <v>494</v>
      </c>
      <c r="M1204" s="99" t="s">
        <v>20</v>
      </c>
      <c r="N1204" s="182" t="s">
        <v>519</v>
      </c>
    </row>
    <row r="1205" spans="1:14" ht="15.65" hidden="1" customHeight="1" x14ac:dyDescent="0.35">
      <c r="A1205" s="183" t="s">
        <v>967</v>
      </c>
      <c r="B1205" s="183"/>
      <c r="C1205" s="184" t="s">
        <v>904</v>
      </c>
      <c r="D1205" s="168" t="s">
        <v>465</v>
      </c>
      <c r="E1205" s="170" t="s">
        <v>369</v>
      </c>
      <c r="F1205" s="174"/>
      <c r="G1205" s="185">
        <v>55.84</v>
      </c>
      <c r="H1205" s="185">
        <f>G1205+2.75</f>
        <v>58.59</v>
      </c>
      <c r="I1205" s="187"/>
      <c r="J1205" s="99" t="s">
        <v>437</v>
      </c>
      <c r="K1205" s="107">
        <v>44926</v>
      </c>
      <c r="L1205" s="169" t="s">
        <v>1203</v>
      </c>
      <c r="M1205" s="99" t="s">
        <v>20</v>
      </c>
      <c r="N1205" s="108" t="s">
        <v>443</v>
      </c>
    </row>
    <row r="1206" spans="1:14" ht="15.65" hidden="1" customHeight="1" x14ac:dyDescent="0.35">
      <c r="A1206" s="183" t="s">
        <v>967</v>
      </c>
      <c r="B1206" s="183"/>
      <c r="C1206" s="184" t="s">
        <v>904</v>
      </c>
      <c r="D1206" s="168" t="s">
        <v>444</v>
      </c>
      <c r="E1206" s="170" t="s">
        <v>369</v>
      </c>
      <c r="F1206" s="174"/>
      <c r="G1206" s="185">
        <v>65.849999999999994</v>
      </c>
      <c r="H1206" s="185">
        <f>G1206+2.75</f>
        <v>68.599999999999994</v>
      </c>
      <c r="I1206" s="187"/>
      <c r="J1206" s="99" t="s">
        <v>428</v>
      </c>
      <c r="K1206" s="107">
        <v>44926</v>
      </c>
      <c r="L1206" s="99"/>
      <c r="M1206" s="99" t="s">
        <v>20</v>
      </c>
      <c r="N1206" s="108" t="s">
        <v>418</v>
      </c>
    </row>
    <row r="1207" spans="1:14" ht="15.65" hidden="1" customHeight="1" x14ac:dyDescent="0.35">
      <c r="A1207" s="183" t="s">
        <v>967</v>
      </c>
      <c r="B1207" s="183"/>
      <c r="C1207" s="184" t="s">
        <v>904</v>
      </c>
      <c r="D1207" s="168" t="s">
        <v>444</v>
      </c>
      <c r="E1207" s="170" t="s">
        <v>369</v>
      </c>
      <c r="F1207" s="174"/>
      <c r="G1207" s="185">
        <v>65.849999999999994</v>
      </c>
      <c r="H1207" s="185">
        <f>G1207+2.75</f>
        <v>68.599999999999994</v>
      </c>
      <c r="I1207" s="187"/>
      <c r="J1207" s="99" t="s">
        <v>432</v>
      </c>
      <c r="K1207" s="107">
        <v>44926</v>
      </c>
      <c r="L1207" s="169" t="s">
        <v>1225</v>
      </c>
      <c r="M1207" s="99" t="s">
        <v>20</v>
      </c>
      <c r="N1207" s="108" t="s">
        <v>418</v>
      </c>
    </row>
    <row r="1208" spans="1:14" ht="15.65" hidden="1" customHeight="1" x14ac:dyDescent="0.35">
      <c r="A1208" s="183" t="s">
        <v>967</v>
      </c>
      <c r="B1208" s="183"/>
      <c r="C1208" s="184" t="s">
        <v>904</v>
      </c>
      <c r="D1208" s="168" t="s">
        <v>444</v>
      </c>
      <c r="E1208" s="170" t="s">
        <v>369</v>
      </c>
      <c r="F1208" s="174"/>
      <c r="G1208" s="185">
        <v>65.849999999999994</v>
      </c>
      <c r="H1208" s="185">
        <v>68.599999999999994</v>
      </c>
      <c r="I1208" s="99" t="s">
        <v>428</v>
      </c>
      <c r="J1208" s="99" t="s">
        <v>509</v>
      </c>
      <c r="K1208" s="107">
        <v>44926</v>
      </c>
      <c r="L1208" s="99" t="s">
        <v>1219</v>
      </c>
      <c r="M1208" s="99" t="s">
        <v>20</v>
      </c>
      <c r="N1208" s="108" t="s">
        <v>418</v>
      </c>
    </row>
    <row r="1209" spans="1:14" ht="15.65" hidden="1" customHeight="1" x14ac:dyDescent="0.35">
      <c r="A1209" s="183" t="s">
        <v>222</v>
      </c>
      <c r="B1209" s="183"/>
      <c r="C1209" s="184" t="s">
        <v>533</v>
      </c>
      <c r="D1209" s="168" t="s">
        <v>474</v>
      </c>
      <c r="E1209" s="167" t="s">
        <v>369</v>
      </c>
      <c r="F1209" s="174"/>
      <c r="G1209" s="185">
        <v>39.6</v>
      </c>
      <c r="H1209" s="185">
        <f t="shared" ref="H1209:H1218" si="16">G1209+2.75</f>
        <v>42.35</v>
      </c>
      <c r="I1209" s="186"/>
      <c r="J1209" s="99" t="s">
        <v>437</v>
      </c>
      <c r="K1209" s="107">
        <v>44196</v>
      </c>
      <c r="L1209" s="99"/>
      <c r="M1209" s="99"/>
      <c r="N1209" s="99" t="s">
        <v>519</v>
      </c>
    </row>
    <row r="1210" spans="1:14" ht="15.65" hidden="1" customHeight="1" x14ac:dyDescent="0.35">
      <c r="A1210" s="183" t="s">
        <v>229</v>
      </c>
      <c r="B1210" s="183"/>
      <c r="C1210" s="184" t="s">
        <v>544</v>
      </c>
      <c r="D1210" s="168" t="s">
        <v>465</v>
      </c>
      <c r="E1210" s="192" t="s">
        <v>369</v>
      </c>
      <c r="F1210" s="174"/>
      <c r="G1210" s="185">
        <v>61.15</v>
      </c>
      <c r="H1210" s="185">
        <f t="shared" si="16"/>
        <v>63.9</v>
      </c>
      <c r="I1210" s="187"/>
      <c r="J1210" s="99" t="s">
        <v>428</v>
      </c>
      <c r="K1210" s="107">
        <v>44926</v>
      </c>
      <c r="L1210" s="169" t="s">
        <v>1226</v>
      </c>
      <c r="M1210" s="99"/>
      <c r="N1210" s="99" t="s">
        <v>443</v>
      </c>
    </row>
    <row r="1211" spans="1:14" ht="15.65" hidden="1" customHeight="1" x14ac:dyDescent="0.35">
      <c r="A1211" s="188" t="s">
        <v>545</v>
      </c>
      <c r="B1211" s="188"/>
      <c r="C1211" s="184" t="s">
        <v>546</v>
      </c>
      <c r="D1211" s="168" t="s">
        <v>444</v>
      </c>
      <c r="E1211" s="192" t="s">
        <v>369</v>
      </c>
      <c r="F1211" s="174"/>
      <c r="G1211" s="185">
        <v>61.9</v>
      </c>
      <c r="H1211" s="185">
        <f t="shared" si="16"/>
        <v>64.650000000000006</v>
      </c>
      <c r="I1211" s="187"/>
      <c r="J1211" s="99" t="s">
        <v>428</v>
      </c>
      <c r="K1211" s="107">
        <v>44926</v>
      </c>
      <c r="L1211" s="169"/>
      <c r="M1211" s="99"/>
      <c r="N1211" s="99" t="s">
        <v>418</v>
      </c>
    </row>
    <row r="1212" spans="1:14" ht="15.65" hidden="1" customHeight="1" x14ac:dyDescent="0.35">
      <c r="A1212" s="183" t="s">
        <v>233</v>
      </c>
      <c r="B1212" s="183"/>
      <c r="C1212" s="184" t="s">
        <v>972</v>
      </c>
      <c r="D1212" s="168" t="s">
        <v>427</v>
      </c>
      <c r="E1212" s="192" t="s">
        <v>369</v>
      </c>
      <c r="F1212" s="174"/>
      <c r="G1212" s="185">
        <v>25.25</v>
      </c>
      <c r="H1212" s="185">
        <f t="shared" si="16"/>
        <v>28</v>
      </c>
      <c r="I1212" s="186"/>
      <c r="J1212" s="99" t="s">
        <v>449</v>
      </c>
      <c r="K1212" s="107">
        <v>44561</v>
      </c>
      <c r="L1212" s="99"/>
      <c r="M1212" s="99" t="s">
        <v>20</v>
      </c>
      <c r="N1212" s="99" t="s">
        <v>457</v>
      </c>
    </row>
    <row r="1213" spans="1:14" ht="15.65" hidden="1" customHeight="1" x14ac:dyDescent="0.35">
      <c r="A1213" s="183" t="s">
        <v>233</v>
      </c>
      <c r="B1213" s="183"/>
      <c r="C1213" s="184" t="s">
        <v>972</v>
      </c>
      <c r="D1213" s="168" t="s">
        <v>427</v>
      </c>
      <c r="E1213" s="192" t="s">
        <v>369</v>
      </c>
      <c r="F1213" s="174"/>
      <c r="G1213" s="185">
        <v>32.450000000000003</v>
      </c>
      <c r="H1213" s="185">
        <f t="shared" si="16"/>
        <v>35.200000000000003</v>
      </c>
      <c r="I1213" s="186"/>
      <c r="J1213" s="99" t="s">
        <v>428</v>
      </c>
      <c r="K1213" s="107">
        <v>44561</v>
      </c>
      <c r="L1213" s="99"/>
      <c r="M1213" s="99" t="s">
        <v>20</v>
      </c>
      <c r="N1213" s="99" t="s">
        <v>457</v>
      </c>
    </row>
    <row r="1214" spans="1:14" ht="15.65" hidden="1" customHeight="1" x14ac:dyDescent="0.35">
      <c r="A1214" s="183" t="s">
        <v>233</v>
      </c>
      <c r="B1214" s="183"/>
      <c r="C1214" s="184" t="s">
        <v>972</v>
      </c>
      <c r="D1214" s="168" t="s">
        <v>444</v>
      </c>
      <c r="E1214" s="192" t="s">
        <v>369</v>
      </c>
      <c r="F1214" s="174"/>
      <c r="G1214" s="185">
        <v>26.5</v>
      </c>
      <c r="H1214" s="185">
        <f t="shared" si="16"/>
        <v>29.25</v>
      </c>
      <c r="I1214" s="187"/>
      <c r="J1214" s="99" t="s">
        <v>449</v>
      </c>
      <c r="K1214" s="107">
        <v>44926</v>
      </c>
      <c r="L1214" s="99"/>
      <c r="M1214" s="99" t="s">
        <v>20</v>
      </c>
      <c r="N1214" s="99" t="s">
        <v>458</v>
      </c>
    </row>
    <row r="1215" spans="1:14" ht="15.65" hidden="1" customHeight="1" x14ac:dyDescent="0.35">
      <c r="A1215" s="183" t="s">
        <v>233</v>
      </c>
      <c r="B1215" s="183"/>
      <c r="C1215" s="184" t="s">
        <v>972</v>
      </c>
      <c r="D1215" s="168" t="s">
        <v>444</v>
      </c>
      <c r="E1215" s="192" t="s">
        <v>369</v>
      </c>
      <c r="F1215" s="174"/>
      <c r="G1215" s="185">
        <v>32.450000000000003</v>
      </c>
      <c r="H1215" s="185">
        <f t="shared" si="16"/>
        <v>35.200000000000003</v>
      </c>
      <c r="I1215" s="187"/>
      <c r="J1215" s="99" t="s">
        <v>428</v>
      </c>
      <c r="K1215" s="107">
        <v>44926</v>
      </c>
      <c r="L1215" s="99"/>
      <c r="M1215" s="99" t="s">
        <v>20</v>
      </c>
      <c r="N1215" s="99" t="s">
        <v>418</v>
      </c>
    </row>
    <row r="1216" spans="1:14" ht="15.65" hidden="1" customHeight="1" x14ac:dyDescent="0.35">
      <c r="A1216" s="183" t="s">
        <v>81</v>
      </c>
      <c r="B1216" s="183"/>
      <c r="C1216" s="184" t="s">
        <v>548</v>
      </c>
      <c r="D1216" s="168" t="s">
        <v>444</v>
      </c>
      <c r="E1216" s="192" t="s">
        <v>369</v>
      </c>
      <c r="F1216" s="174"/>
      <c r="G1216" s="185">
        <v>42.35</v>
      </c>
      <c r="H1216" s="185">
        <f t="shared" si="16"/>
        <v>45.1</v>
      </c>
      <c r="I1216" s="187"/>
      <c r="J1216" s="99" t="s">
        <v>509</v>
      </c>
      <c r="K1216" s="107">
        <v>44926</v>
      </c>
      <c r="L1216" s="99"/>
      <c r="M1216" s="99" t="s">
        <v>20</v>
      </c>
      <c r="N1216" s="99" t="s">
        <v>418</v>
      </c>
    </row>
    <row r="1217" spans="1:14" ht="15.65" hidden="1" customHeight="1" x14ac:dyDescent="0.35">
      <c r="A1217" s="183" t="s">
        <v>81</v>
      </c>
      <c r="B1217" s="183"/>
      <c r="C1217" s="184" t="s">
        <v>548</v>
      </c>
      <c r="D1217" s="168" t="s">
        <v>444</v>
      </c>
      <c r="E1217" s="192" t="s">
        <v>369</v>
      </c>
      <c r="F1217" s="174"/>
      <c r="G1217" s="185">
        <v>42.35</v>
      </c>
      <c r="H1217" s="185">
        <f t="shared" si="16"/>
        <v>45.1</v>
      </c>
      <c r="I1217" s="187"/>
      <c r="J1217" s="99" t="s">
        <v>428</v>
      </c>
      <c r="K1217" s="107">
        <v>44926</v>
      </c>
      <c r="L1217" s="99"/>
      <c r="M1217" s="99" t="s">
        <v>20</v>
      </c>
      <c r="N1217" s="99" t="s">
        <v>418</v>
      </c>
    </row>
    <row r="1218" spans="1:14" ht="15.65" hidden="1" customHeight="1" x14ac:dyDescent="0.35">
      <c r="A1218" s="183" t="s">
        <v>235</v>
      </c>
      <c r="B1218" s="183"/>
      <c r="C1218" s="184" t="s">
        <v>549</v>
      </c>
      <c r="D1218" s="168" t="s">
        <v>427</v>
      </c>
      <c r="E1218" s="192" t="s">
        <v>369</v>
      </c>
      <c r="F1218" s="174"/>
      <c r="G1218" s="185">
        <v>31.65</v>
      </c>
      <c r="H1218" s="185">
        <f t="shared" si="16"/>
        <v>34.4</v>
      </c>
      <c r="I1218" s="186"/>
      <c r="J1218" s="99" t="s">
        <v>509</v>
      </c>
      <c r="K1218" s="107">
        <v>44561</v>
      </c>
      <c r="L1218" s="99"/>
      <c r="M1218" s="99" t="s">
        <v>20</v>
      </c>
      <c r="N1218" s="99" t="s">
        <v>457</v>
      </c>
    </row>
    <row r="1219" spans="1:14" ht="15.65" hidden="1" customHeight="1" x14ac:dyDescent="0.35">
      <c r="A1219" s="183" t="s">
        <v>235</v>
      </c>
      <c r="B1219" s="183"/>
      <c r="C1219" s="184" t="s">
        <v>549</v>
      </c>
      <c r="D1219" s="168" t="s">
        <v>427</v>
      </c>
      <c r="E1219" s="192" t="s">
        <v>369</v>
      </c>
      <c r="F1219" s="174"/>
      <c r="G1219" s="185">
        <v>38.61</v>
      </c>
      <c r="H1219" s="106">
        <v>41.36</v>
      </c>
      <c r="I1219" s="201"/>
      <c r="J1219" s="107" t="s">
        <v>437</v>
      </c>
      <c r="K1219" s="107">
        <v>44561</v>
      </c>
      <c r="L1219" s="99"/>
      <c r="M1219" s="99" t="s">
        <v>20</v>
      </c>
      <c r="N1219" s="173" t="s">
        <v>457</v>
      </c>
    </row>
    <row r="1220" spans="1:14" ht="15.65" hidden="1" customHeight="1" x14ac:dyDescent="0.35">
      <c r="A1220" s="183" t="s">
        <v>235</v>
      </c>
      <c r="B1220" s="183"/>
      <c r="C1220" s="184" t="s">
        <v>549</v>
      </c>
      <c r="D1220" s="168" t="s">
        <v>444</v>
      </c>
      <c r="E1220" s="192" t="s">
        <v>369</v>
      </c>
      <c r="F1220" s="174"/>
      <c r="G1220" s="185">
        <v>38.61</v>
      </c>
      <c r="H1220" s="106">
        <v>41.36</v>
      </c>
      <c r="I1220" s="99"/>
      <c r="J1220" s="107" t="s">
        <v>437</v>
      </c>
      <c r="K1220" s="107">
        <v>44926</v>
      </c>
      <c r="L1220" s="99"/>
      <c r="M1220" s="99"/>
      <c r="N1220" s="173" t="s">
        <v>458</v>
      </c>
    </row>
    <row r="1221" spans="1:14" ht="15.65" hidden="1" customHeight="1" x14ac:dyDescent="0.35">
      <c r="A1221" s="183" t="s">
        <v>235</v>
      </c>
      <c r="B1221" s="183"/>
      <c r="C1221" s="184" t="s">
        <v>549</v>
      </c>
      <c r="D1221" s="168" t="s">
        <v>444</v>
      </c>
      <c r="E1221" s="192" t="s">
        <v>369</v>
      </c>
      <c r="F1221" s="174"/>
      <c r="G1221" s="185">
        <v>31.65</v>
      </c>
      <c r="H1221" s="185">
        <f>G1221+2.75</f>
        <v>34.4</v>
      </c>
      <c r="I1221" s="187"/>
      <c r="J1221" s="99" t="s">
        <v>509</v>
      </c>
      <c r="K1221" s="107">
        <v>44926</v>
      </c>
      <c r="L1221" s="99"/>
      <c r="M1221" s="99"/>
      <c r="N1221" s="99" t="s">
        <v>458</v>
      </c>
    </row>
    <row r="1222" spans="1:14" ht="15.65" hidden="1" customHeight="1" x14ac:dyDescent="0.35">
      <c r="A1222" s="183" t="s">
        <v>550</v>
      </c>
      <c r="B1222" s="183"/>
      <c r="C1222" s="184" t="s">
        <v>976</v>
      </c>
      <c r="D1222" s="168" t="s">
        <v>427</v>
      </c>
      <c r="E1222" s="192" t="s">
        <v>369</v>
      </c>
      <c r="F1222" s="174"/>
      <c r="G1222" s="185">
        <v>37.92</v>
      </c>
      <c r="H1222" s="185">
        <f>G1222+2.75</f>
        <v>40.67</v>
      </c>
      <c r="I1222" s="186"/>
      <c r="J1222" s="99" t="s">
        <v>428</v>
      </c>
      <c r="K1222" s="107">
        <v>44196</v>
      </c>
      <c r="L1222" s="99"/>
      <c r="M1222" s="99" t="s">
        <v>624</v>
      </c>
      <c r="N1222" s="99" t="s">
        <v>429</v>
      </c>
    </row>
    <row r="1223" spans="1:14" ht="15.65" hidden="1" customHeight="1" x14ac:dyDescent="0.35">
      <c r="A1223" s="183" t="s">
        <v>550</v>
      </c>
      <c r="B1223" s="183"/>
      <c r="C1223" s="184" t="s">
        <v>976</v>
      </c>
      <c r="D1223" s="168" t="s">
        <v>444</v>
      </c>
      <c r="E1223" s="192" t="s">
        <v>369</v>
      </c>
      <c r="F1223" s="174"/>
      <c r="G1223" s="185">
        <v>37.92</v>
      </c>
      <c r="H1223" s="185">
        <f>G1223+2.75</f>
        <v>40.67</v>
      </c>
      <c r="I1223" s="187"/>
      <c r="J1223" s="99" t="s">
        <v>428</v>
      </c>
      <c r="K1223" s="107">
        <v>44926</v>
      </c>
      <c r="L1223" s="99"/>
      <c r="M1223" s="99" t="s">
        <v>624</v>
      </c>
      <c r="N1223" s="99" t="s">
        <v>418</v>
      </c>
    </row>
    <row r="1224" spans="1:14" ht="15.65" hidden="1" customHeight="1" x14ac:dyDescent="0.35">
      <c r="A1224" s="183" t="s">
        <v>555</v>
      </c>
      <c r="B1224" s="183"/>
      <c r="C1224" s="184" t="s">
        <v>556</v>
      </c>
      <c r="D1224" s="168" t="s">
        <v>427</v>
      </c>
      <c r="E1224" s="168" t="s">
        <v>369</v>
      </c>
      <c r="F1224" s="174"/>
      <c r="G1224" s="185">
        <v>36</v>
      </c>
      <c r="H1224" s="185">
        <f>G1224+2.75</f>
        <v>38.75</v>
      </c>
      <c r="I1224" s="187"/>
      <c r="J1224" s="99" t="s">
        <v>428</v>
      </c>
      <c r="K1224" s="107">
        <v>44196</v>
      </c>
      <c r="L1224" s="99" t="s">
        <v>494</v>
      </c>
      <c r="M1224" s="99" t="s">
        <v>104</v>
      </c>
      <c r="N1224" s="99" t="s">
        <v>429</v>
      </c>
    </row>
    <row r="1225" spans="1:14" ht="15.65" hidden="1" customHeight="1" x14ac:dyDescent="0.35">
      <c r="A1225" s="188" t="s">
        <v>555</v>
      </c>
      <c r="B1225" s="188"/>
      <c r="C1225" s="181" t="s">
        <v>556</v>
      </c>
      <c r="D1225" s="168" t="s">
        <v>427</v>
      </c>
      <c r="E1225" s="168" t="s">
        <v>369</v>
      </c>
      <c r="F1225" s="174"/>
      <c r="G1225" s="106">
        <v>41.19</v>
      </c>
      <c r="H1225" s="106">
        <v>43.94</v>
      </c>
      <c r="I1225" s="99"/>
      <c r="J1225" s="99" t="s">
        <v>509</v>
      </c>
      <c r="K1225" s="107">
        <v>44196</v>
      </c>
      <c r="L1225" s="99"/>
      <c r="M1225" s="99" t="s">
        <v>104</v>
      </c>
      <c r="N1225" s="99" t="s">
        <v>429</v>
      </c>
    </row>
    <row r="1226" spans="1:14" ht="15.65" hidden="1" customHeight="1" x14ac:dyDescent="0.35">
      <c r="A1226" s="183" t="s">
        <v>980</v>
      </c>
      <c r="B1226" s="183"/>
      <c r="C1226" s="184" t="s">
        <v>981</v>
      </c>
      <c r="D1226" s="168" t="s">
        <v>427</v>
      </c>
      <c r="E1226" s="168" t="s">
        <v>369</v>
      </c>
      <c r="F1226" s="174"/>
      <c r="G1226" s="185">
        <v>55.45</v>
      </c>
      <c r="H1226" s="185">
        <f t="shared" ref="H1226:H1234" si="17">G1226+2.75</f>
        <v>58.2</v>
      </c>
      <c r="I1226" s="186"/>
      <c r="J1226" s="99" t="s">
        <v>449</v>
      </c>
      <c r="K1226" s="107">
        <v>44561</v>
      </c>
      <c r="L1226" s="99" t="s">
        <v>494</v>
      </c>
      <c r="M1226" s="99" t="s">
        <v>20</v>
      </c>
      <c r="N1226" s="99" t="s">
        <v>457</v>
      </c>
    </row>
    <row r="1227" spans="1:14" ht="15.65" hidden="1" customHeight="1" x14ac:dyDescent="0.35">
      <c r="A1227" s="183" t="s">
        <v>980</v>
      </c>
      <c r="B1227" s="183"/>
      <c r="C1227" s="184" t="s">
        <v>981</v>
      </c>
      <c r="D1227" s="168" t="s">
        <v>427</v>
      </c>
      <c r="E1227" s="168" t="s">
        <v>369</v>
      </c>
      <c r="F1227" s="174"/>
      <c r="G1227" s="185">
        <v>55.45</v>
      </c>
      <c r="H1227" s="185">
        <f t="shared" si="17"/>
        <v>58.2</v>
      </c>
      <c r="I1227" s="186"/>
      <c r="J1227" s="99" t="s">
        <v>428</v>
      </c>
      <c r="K1227" s="107">
        <v>44196</v>
      </c>
      <c r="L1227" s="99"/>
      <c r="M1227" s="99" t="s">
        <v>20</v>
      </c>
      <c r="N1227" s="99" t="s">
        <v>429</v>
      </c>
    </row>
    <row r="1228" spans="1:14" ht="15.65" hidden="1" customHeight="1" x14ac:dyDescent="0.35">
      <c r="A1228" s="183" t="s">
        <v>980</v>
      </c>
      <c r="B1228" s="183"/>
      <c r="C1228" s="184" t="s">
        <v>981</v>
      </c>
      <c r="D1228" s="168" t="s">
        <v>444</v>
      </c>
      <c r="E1228" s="192" t="s">
        <v>369</v>
      </c>
      <c r="F1228" s="174"/>
      <c r="G1228" s="185">
        <v>55.45</v>
      </c>
      <c r="H1228" s="185">
        <f t="shared" si="17"/>
        <v>58.2</v>
      </c>
      <c r="I1228" s="187"/>
      <c r="J1228" s="99" t="s">
        <v>449</v>
      </c>
      <c r="K1228" s="107">
        <v>44926</v>
      </c>
      <c r="L1228" s="99"/>
      <c r="M1228" s="99" t="s">
        <v>20</v>
      </c>
      <c r="N1228" s="99" t="s">
        <v>418</v>
      </c>
    </row>
    <row r="1229" spans="1:14" ht="15.65" hidden="1" customHeight="1" x14ac:dyDescent="0.35">
      <c r="A1229" s="183" t="s">
        <v>980</v>
      </c>
      <c r="B1229" s="183"/>
      <c r="C1229" s="184" t="s">
        <v>981</v>
      </c>
      <c r="D1229" s="168" t="s">
        <v>444</v>
      </c>
      <c r="E1229" s="192" t="s">
        <v>369</v>
      </c>
      <c r="F1229" s="174"/>
      <c r="G1229" s="185">
        <v>55.45</v>
      </c>
      <c r="H1229" s="185">
        <f t="shared" si="17"/>
        <v>58.2</v>
      </c>
      <c r="I1229" s="187"/>
      <c r="J1229" s="99" t="s">
        <v>428</v>
      </c>
      <c r="K1229" s="107">
        <v>44926</v>
      </c>
      <c r="L1229" s="99"/>
      <c r="M1229" s="99" t="s">
        <v>20</v>
      </c>
      <c r="N1229" s="99" t="s">
        <v>418</v>
      </c>
    </row>
    <row r="1230" spans="1:14" ht="15.65" hidden="1" customHeight="1" x14ac:dyDescent="0.35">
      <c r="A1230" s="183" t="s">
        <v>558</v>
      </c>
      <c r="B1230" s="183"/>
      <c r="C1230" s="184" t="s">
        <v>559</v>
      </c>
      <c r="D1230" s="168" t="s">
        <v>444</v>
      </c>
      <c r="E1230" s="192" t="s">
        <v>369</v>
      </c>
      <c r="F1230" s="174"/>
      <c r="G1230" s="185">
        <v>35.53</v>
      </c>
      <c r="H1230" s="185">
        <f t="shared" si="17"/>
        <v>38.28</v>
      </c>
      <c r="I1230" s="187"/>
      <c r="J1230" s="99" t="s">
        <v>428</v>
      </c>
      <c r="K1230" s="107">
        <v>44926</v>
      </c>
      <c r="L1230" s="99"/>
      <c r="M1230" s="99"/>
      <c r="N1230" s="99" t="s">
        <v>418</v>
      </c>
    </row>
    <row r="1231" spans="1:14" ht="15.65" hidden="1" customHeight="1" x14ac:dyDescent="0.35">
      <c r="A1231" s="183" t="s">
        <v>241</v>
      </c>
      <c r="B1231" s="183"/>
      <c r="C1231" s="184" t="s">
        <v>1227</v>
      </c>
      <c r="D1231" s="168" t="s">
        <v>427</v>
      </c>
      <c r="E1231" s="192" t="s">
        <v>369</v>
      </c>
      <c r="F1231" s="174"/>
      <c r="G1231" s="185">
        <v>55.45</v>
      </c>
      <c r="H1231" s="185">
        <f t="shared" si="17"/>
        <v>58.2</v>
      </c>
      <c r="I1231" s="186"/>
      <c r="J1231" s="99" t="s">
        <v>428</v>
      </c>
      <c r="K1231" s="107">
        <v>44561</v>
      </c>
      <c r="L1231" s="99"/>
      <c r="M1231" s="99"/>
      <c r="N1231" s="99" t="s">
        <v>457</v>
      </c>
    </row>
    <row r="1232" spans="1:14" ht="15.65" hidden="1" customHeight="1" x14ac:dyDescent="0.35">
      <c r="A1232" s="183" t="s">
        <v>241</v>
      </c>
      <c r="B1232" s="183"/>
      <c r="C1232" s="184" t="s">
        <v>1227</v>
      </c>
      <c r="D1232" s="168" t="s">
        <v>465</v>
      </c>
      <c r="E1232" s="192" t="s">
        <v>369</v>
      </c>
      <c r="F1232" s="174"/>
      <c r="G1232" s="185">
        <v>60.7</v>
      </c>
      <c r="H1232" s="185">
        <f t="shared" si="17"/>
        <v>63.45</v>
      </c>
      <c r="I1232" s="187"/>
      <c r="J1232" s="99" t="s">
        <v>428</v>
      </c>
      <c r="K1232" s="107">
        <v>44651</v>
      </c>
      <c r="L1232" s="169" t="s">
        <v>488</v>
      </c>
      <c r="M1232" s="99"/>
      <c r="N1232" s="99" t="s">
        <v>443</v>
      </c>
    </row>
    <row r="1233" spans="1:14" ht="15.65" hidden="1" customHeight="1" x14ac:dyDescent="0.35">
      <c r="A1233" s="183" t="s">
        <v>241</v>
      </c>
      <c r="B1233" s="183"/>
      <c r="C1233" s="184" t="s">
        <v>1227</v>
      </c>
      <c r="D1233" s="168" t="s">
        <v>465</v>
      </c>
      <c r="E1233" s="192" t="s">
        <v>369</v>
      </c>
      <c r="F1233" s="174"/>
      <c r="G1233" s="185">
        <v>60.7</v>
      </c>
      <c r="H1233" s="185">
        <f t="shared" si="17"/>
        <v>63.45</v>
      </c>
      <c r="I1233" s="187"/>
      <c r="J1233" s="99" t="s">
        <v>428</v>
      </c>
      <c r="K1233" s="107">
        <v>44834</v>
      </c>
      <c r="L1233" s="169" t="s">
        <v>1228</v>
      </c>
      <c r="M1233" s="99"/>
      <c r="N1233" s="99" t="s">
        <v>443</v>
      </c>
    </row>
    <row r="1234" spans="1:14" ht="15.65" hidden="1" customHeight="1" x14ac:dyDescent="0.35">
      <c r="A1234" s="183" t="s">
        <v>1229</v>
      </c>
      <c r="B1234" s="183"/>
      <c r="C1234" s="184" t="s">
        <v>1230</v>
      </c>
      <c r="D1234" s="168" t="s">
        <v>465</v>
      </c>
      <c r="E1234" s="192" t="s">
        <v>369</v>
      </c>
      <c r="F1234" s="174"/>
      <c r="G1234" s="185">
        <v>145.5</v>
      </c>
      <c r="H1234" s="185">
        <f t="shared" si="17"/>
        <v>148.25</v>
      </c>
      <c r="I1234" s="187"/>
      <c r="J1234" s="99" t="s">
        <v>509</v>
      </c>
      <c r="K1234" s="107">
        <v>44926</v>
      </c>
      <c r="L1234" s="169"/>
      <c r="M1234" s="99"/>
      <c r="N1234" s="99" t="s">
        <v>418</v>
      </c>
    </row>
    <row r="1235" spans="1:14" ht="15.65" hidden="1" customHeight="1" x14ac:dyDescent="0.35">
      <c r="A1235" s="183" t="s">
        <v>1231</v>
      </c>
      <c r="B1235" s="183"/>
      <c r="C1235" s="184" t="s">
        <v>1232</v>
      </c>
      <c r="D1235" s="168" t="s">
        <v>427</v>
      </c>
      <c r="E1235" s="192" t="s">
        <v>369</v>
      </c>
      <c r="F1235" s="174"/>
      <c r="G1235" s="185">
        <v>45</v>
      </c>
      <c r="H1235" s="185">
        <v>47.75</v>
      </c>
      <c r="I1235" s="186"/>
      <c r="J1235" s="99" t="s">
        <v>428</v>
      </c>
      <c r="K1235" s="107">
        <v>44196</v>
      </c>
      <c r="L1235" s="99" t="s">
        <v>494</v>
      </c>
      <c r="M1235" s="99"/>
      <c r="N1235" s="182" t="s">
        <v>429</v>
      </c>
    </row>
    <row r="1236" spans="1:14" ht="15.65" hidden="1" customHeight="1" x14ac:dyDescent="0.35">
      <c r="A1236" s="183" t="s">
        <v>1231</v>
      </c>
      <c r="B1236" s="183"/>
      <c r="C1236" s="184" t="s">
        <v>1232</v>
      </c>
      <c r="D1236" s="168" t="s">
        <v>444</v>
      </c>
      <c r="E1236" s="192" t="s">
        <v>369</v>
      </c>
      <c r="F1236" s="174"/>
      <c r="G1236" s="185">
        <v>45</v>
      </c>
      <c r="H1236" s="185">
        <v>47.75</v>
      </c>
      <c r="I1236" s="187"/>
      <c r="J1236" s="99" t="s">
        <v>428</v>
      </c>
      <c r="K1236" s="107">
        <v>44926</v>
      </c>
      <c r="L1236" s="99"/>
      <c r="M1236" s="99"/>
      <c r="N1236" s="182" t="s">
        <v>418</v>
      </c>
    </row>
    <row r="1237" spans="1:14" ht="15.65" hidden="1" customHeight="1" x14ac:dyDescent="0.35">
      <c r="A1237" s="183" t="s">
        <v>245</v>
      </c>
      <c r="B1237" s="183"/>
      <c r="C1237" s="184" t="s">
        <v>985</v>
      </c>
      <c r="D1237" s="168" t="s">
        <v>427</v>
      </c>
      <c r="E1237" s="192" t="s">
        <v>369</v>
      </c>
      <c r="F1237" s="174"/>
      <c r="G1237" s="185">
        <v>48.61</v>
      </c>
      <c r="H1237" s="185">
        <f>G1237+2.75</f>
        <v>51.36</v>
      </c>
      <c r="I1237" s="186"/>
      <c r="J1237" s="99" t="s">
        <v>437</v>
      </c>
      <c r="K1237" s="107">
        <v>44561</v>
      </c>
      <c r="L1237" s="99"/>
      <c r="M1237" s="99" t="s">
        <v>20</v>
      </c>
      <c r="N1237" s="99" t="s">
        <v>457</v>
      </c>
    </row>
    <row r="1238" spans="1:14" ht="15.65" hidden="1" customHeight="1" x14ac:dyDescent="0.35">
      <c r="A1238" s="183" t="s">
        <v>245</v>
      </c>
      <c r="B1238" s="183"/>
      <c r="C1238" s="184" t="s">
        <v>985</v>
      </c>
      <c r="D1238" s="168" t="s">
        <v>427</v>
      </c>
      <c r="E1238" s="192" t="s">
        <v>369</v>
      </c>
      <c r="F1238" s="174"/>
      <c r="G1238" s="185">
        <v>65.95</v>
      </c>
      <c r="H1238" s="185">
        <f>G1238+2.75</f>
        <v>68.7</v>
      </c>
      <c r="I1238" s="186"/>
      <c r="J1238" s="99" t="s">
        <v>428</v>
      </c>
      <c r="K1238" s="107">
        <v>44561</v>
      </c>
      <c r="L1238" s="99"/>
      <c r="M1238" s="99" t="s">
        <v>20</v>
      </c>
      <c r="N1238" s="99" t="s">
        <v>457</v>
      </c>
    </row>
    <row r="1239" spans="1:14" ht="15.65" hidden="1" customHeight="1" x14ac:dyDescent="0.35">
      <c r="A1239" s="183" t="s">
        <v>245</v>
      </c>
      <c r="B1239" s="183"/>
      <c r="C1239" s="184" t="s">
        <v>985</v>
      </c>
      <c r="D1239" s="168" t="s">
        <v>465</v>
      </c>
      <c r="E1239" s="192" t="s">
        <v>369</v>
      </c>
      <c r="F1239" s="174"/>
      <c r="G1239" s="185">
        <v>48.61</v>
      </c>
      <c r="H1239" s="185">
        <f>G1239+2.75</f>
        <v>51.36</v>
      </c>
      <c r="I1239" s="187"/>
      <c r="J1239" s="99" t="s">
        <v>437</v>
      </c>
      <c r="K1239" s="107">
        <v>44926</v>
      </c>
      <c r="L1239" s="169" t="s">
        <v>1203</v>
      </c>
      <c r="M1239" s="99" t="s">
        <v>20</v>
      </c>
      <c r="N1239" s="99" t="s">
        <v>443</v>
      </c>
    </row>
    <row r="1240" spans="1:14" ht="15.65" hidden="1" customHeight="1" x14ac:dyDescent="0.35">
      <c r="A1240" s="183" t="s">
        <v>245</v>
      </c>
      <c r="B1240" s="183"/>
      <c r="C1240" s="184" t="s">
        <v>985</v>
      </c>
      <c r="D1240" s="168" t="s">
        <v>444</v>
      </c>
      <c r="E1240" s="192" t="s">
        <v>369</v>
      </c>
      <c r="F1240" s="174"/>
      <c r="G1240" s="185">
        <v>61.3</v>
      </c>
      <c r="H1240" s="185">
        <f>G1240+2.75</f>
        <v>64.05</v>
      </c>
      <c r="I1240" s="187"/>
      <c r="J1240" s="99" t="s">
        <v>428</v>
      </c>
      <c r="K1240" s="107">
        <v>44926</v>
      </c>
      <c r="L1240" s="99"/>
      <c r="M1240" s="99" t="s">
        <v>20</v>
      </c>
      <c r="N1240" s="99" t="s">
        <v>418</v>
      </c>
    </row>
    <row r="1241" spans="1:14" ht="15.65" hidden="1" customHeight="1" x14ac:dyDescent="0.35">
      <c r="A1241" s="183" t="s">
        <v>562</v>
      </c>
      <c r="B1241" s="183"/>
      <c r="C1241" s="184" t="s">
        <v>563</v>
      </c>
      <c r="D1241" s="168" t="s">
        <v>444</v>
      </c>
      <c r="E1241" s="192" t="s">
        <v>369</v>
      </c>
      <c r="F1241" s="174"/>
      <c r="G1241" s="296">
        <v>155</v>
      </c>
      <c r="H1241" s="106">
        <v>157.75</v>
      </c>
      <c r="I1241" s="99"/>
      <c r="J1241" s="107" t="s">
        <v>428</v>
      </c>
      <c r="K1241" s="107">
        <v>44926</v>
      </c>
      <c r="L1241" s="99"/>
      <c r="M1241" s="99"/>
      <c r="N1241" s="182" t="s">
        <v>418</v>
      </c>
    </row>
    <row r="1242" spans="1:14" ht="15.65" hidden="1" customHeight="1" x14ac:dyDescent="0.35">
      <c r="A1242" s="183" t="s">
        <v>249</v>
      </c>
      <c r="B1242" s="183"/>
      <c r="C1242" s="184" t="s">
        <v>574</v>
      </c>
      <c r="D1242" s="168" t="s">
        <v>444</v>
      </c>
      <c r="E1242" s="192" t="s">
        <v>369</v>
      </c>
      <c r="F1242" s="174"/>
      <c r="G1242" s="185" t="s">
        <v>513</v>
      </c>
      <c r="H1242" s="185">
        <v>83.9</v>
      </c>
      <c r="I1242" s="187"/>
      <c r="J1242" s="99" t="s">
        <v>428</v>
      </c>
      <c r="K1242" s="107">
        <v>44926</v>
      </c>
      <c r="L1242" s="99"/>
      <c r="M1242" s="99"/>
      <c r="N1242" s="99" t="s">
        <v>418</v>
      </c>
    </row>
    <row r="1243" spans="1:14" ht="15.65" hidden="1" customHeight="1" x14ac:dyDescent="0.35">
      <c r="A1243" s="183" t="s">
        <v>253</v>
      </c>
      <c r="B1243" s="183"/>
      <c r="C1243" s="184" t="s">
        <v>581</v>
      </c>
      <c r="D1243" s="168" t="s">
        <v>427</v>
      </c>
      <c r="E1243" s="192" t="s">
        <v>369</v>
      </c>
      <c r="F1243" s="174"/>
      <c r="G1243" s="185">
        <v>66.05</v>
      </c>
      <c r="H1243" s="185">
        <f>G1243+2.75</f>
        <v>68.8</v>
      </c>
      <c r="I1243" s="186"/>
      <c r="J1243" s="99" t="s">
        <v>428</v>
      </c>
      <c r="K1243" s="107">
        <v>44561</v>
      </c>
      <c r="L1243" s="99"/>
      <c r="M1243" s="99" t="s">
        <v>20</v>
      </c>
      <c r="N1243" s="99" t="s">
        <v>457</v>
      </c>
    </row>
    <row r="1244" spans="1:14" ht="15.65" hidden="1" customHeight="1" x14ac:dyDescent="0.35">
      <c r="A1244" s="183" t="s">
        <v>253</v>
      </c>
      <c r="B1244" s="183"/>
      <c r="C1244" s="184" t="s">
        <v>581</v>
      </c>
      <c r="D1244" s="168" t="s">
        <v>444</v>
      </c>
      <c r="E1244" s="192" t="s">
        <v>369</v>
      </c>
      <c r="F1244" s="174"/>
      <c r="G1244" s="185">
        <v>65.05</v>
      </c>
      <c r="H1244" s="185">
        <f>G1244+2.75</f>
        <v>67.8</v>
      </c>
      <c r="I1244" s="187"/>
      <c r="J1244" s="99" t="s">
        <v>432</v>
      </c>
      <c r="K1244" s="107">
        <v>44651</v>
      </c>
      <c r="L1244" s="169" t="s">
        <v>464</v>
      </c>
      <c r="M1244" s="99" t="s">
        <v>20</v>
      </c>
      <c r="N1244" s="99" t="s">
        <v>443</v>
      </c>
    </row>
    <row r="1245" spans="1:14" ht="15.65" hidden="1" customHeight="1" x14ac:dyDescent="0.35">
      <c r="A1245" s="183" t="s">
        <v>253</v>
      </c>
      <c r="B1245" s="183"/>
      <c r="C1245" s="184" t="s">
        <v>581</v>
      </c>
      <c r="D1245" s="168" t="s">
        <v>444</v>
      </c>
      <c r="E1245" s="192" t="s">
        <v>369</v>
      </c>
      <c r="F1245" s="174"/>
      <c r="G1245" s="185">
        <v>66.05</v>
      </c>
      <c r="H1245" s="185">
        <f>G1245+2.75</f>
        <v>68.8</v>
      </c>
      <c r="I1245" s="187"/>
      <c r="J1245" s="99" t="s">
        <v>428</v>
      </c>
      <c r="K1245" s="107">
        <v>44926</v>
      </c>
      <c r="L1245" s="99"/>
      <c r="M1245" s="99" t="s">
        <v>20</v>
      </c>
      <c r="N1245" s="99" t="s">
        <v>418</v>
      </c>
    </row>
    <row r="1246" spans="1:14" ht="15.65" hidden="1" customHeight="1" x14ac:dyDescent="0.35">
      <c r="A1246" s="183" t="s">
        <v>588</v>
      </c>
      <c r="B1246" s="183"/>
      <c r="C1246" s="184" t="s">
        <v>589</v>
      </c>
      <c r="D1246" s="168" t="s">
        <v>427</v>
      </c>
      <c r="E1246" s="192" t="s">
        <v>369</v>
      </c>
      <c r="F1246" s="174"/>
      <c r="G1246" s="185">
        <v>140</v>
      </c>
      <c r="H1246" s="185">
        <f>G1246+2.75</f>
        <v>142.75</v>
      </c>
      <c r="I1246" s="186"/>
      <c r="J1246" s="99" t="s">
        <v>428</v>
      </c>
      <c r="K1246" s="107">
        <v>44561</v>
      </c>
      <c r="L1246" s="99" t="s">
        <v>494</v>
      </c>
      <c r="M1246" s="99" t="s">
        <v>20</v>
      </c>
      <c r="N1246" s="182" t="s">
        <v>457</v>
      </c>
    </row>
    <row r="1247" spans="1:14" ht="15.65" hidden="1" customHeight="1" x14ac:dyDescent="0.35">
      <c r="A1247" s="183" t="s">
        <v>588</v>
      </c>
      <c r="B1247" s="183"/>
      <c r="C1247" s="184" t="s">
        <v>589</v>
      </c>
      <c r="D1247" s="168" t="s">
        <v>427</v>
      </c>
      <c r="E1247" s="192" t="s">
        <v>369</v>
      </c>
      <c r="F1247" s="174"/>
      <c r="G1247" s="185">
        <v>132</v>
      </c>
      <c r="H1247" s="185">
        <v>134.75</v>
      </c>
      <c r="I1247" s="297"/>
      <c r="J1247" s="99" t="s">
        <v>509</v>
      </c>
      <c r="K1247" s="107">
        <v>44561</v>
      </c>
      <c r="L1247" s="169" t="s">
        <v>1233</v>
      </c>
      <c r="M1247" s="99" t="s">
        <v>20</v>
      </c>
      <c r="N1247" s="182" t="s">
        <v>427</v>
      </c>
    </row>
    <row r="1248" spans="1:14" ht="15.65" hidden="1" customHeight="1" x14ac:dyDescent="0.35">
      <c r="A1248" s="183" t="s">
        <v>588</v>
      </c>
      <c r="B1248" s="183"/>
      <c r="C1248" s="184" t="s">
        <v>589</v>
      </c>
      <c r="D1248" s="168" t="s">
        <v>427</v>
      </c>
      <c r="E1248" s="192" t="s">
        <v>369</v>
      </c>
      <c r="F1248" s="174"/>
      <c r="G1248" s="117">
        <v>121.9</v>
      </c>
      <c r="H1248" s="106">
        <v>124.75</v>
      </c>
      <c r="I1248" s="99"/>
      <c r="J1248" s="99" t="s">
        <v>509</v>
      </c>
      <c r="K1248" s="107">
        <v>44561</v>
      </c>
      <c r="L1248" s="169" t="s">
        <v>1234</v>
      </c>
      <c r="M1248" s="99" t="s">
        <v>104</v>
      </c>
      <c r="N1248" s="108" t="s">
        <v>439</v>
      </c>
    </row>
    <row r="1249" spans="1:14" ht="15.65" hidden="1" customHeight="1" x14ac:dyDescent="0.35">
      <c r="A1249" s="183" t="s">
        <v>588</v>
      </c>
      <c r="B1249" s="183"/>
      <c r="C1249" s="184" t="s">
        <v>589</v>
      </c>
      <c r="D1249" s="168" t="s">
        <v>444</v>
      </c>
      <c r="E1249" s="192" t="s">
        <v>369</v>
      </c>
      <c r="F1249" s="174"/>
      <c r="G1249" s="117">
        <v>128</v>
      </c>
      <c r="H1249" s="117">
        <f>G1249+2.75</f>
        <v>130.75</v>
      </c>
      <c r="I1249" s="99"/>
      <c r="J1249" s="99" t="s">
        <v>509</v>
      </c>
      <c r="K1249" s="107">
        <v>44926</v>
      </c>
      <c r="L1249" s="169"/>
      <c r="M1249" s="99" t="s">
        <v>104</v>
      </c>
      <c r="N1249" s="108" t="s">
        <v>458</v>
      </c>
    </row>
    <row r="1250" spans="1:14" ht="15.65" hidden="1" customHeight="1" x14ac:dyDescent="0.35">
      <c r="A1250" s="183" t="s">
        <v>588</v>
      </c>
      <c r="B1250" s="183"/>
      <c r="C1250" s="184" t="s">
        <v>589</v>
      </c>
      <c r="D1250" s="168" t="s">
        <v>444</v>
      </c>
      <c r="E1250" s="192" t="s">
        <v>369</v>
      </c>
      <c r="F1250" s="174"/>
      <c r="G1250" s="185">
        <v>140</v>
      </c>
      <c r="H1250" s="185">
        <f>G1250+2.75</f>
        <v>142.75</v>
      </c>
      <c r="I1250" s="187"/>
      <c r="J1250" s="99" t="s">
        <v>428</v>
      </c>
      <c r="K1250" s="107">
        <v>44926</v>
      </c>
      <c r="L1250" s="99"/>
      <c r="M1250" s="99" t="s">
        <v>20</v>
      </c>
      <c r="N1250" s="182" t="s">
        <v>418</v>
      </c>
    </row>
    <row r="1251" spans="1:14" ht="15.65" hidden="1" customHeight="1" x14ac:dyDescent="0.35">
      <c r="A1251" s="183" t="s">
        <v>1235</v>
      </c>
      <c r="B1251" s="183"/>
      <c r="C1251" s="184" t="s">
        <v>1236</v>
      </c>
      <c r="D1251" s="168" t="s">
        <v>427</v>
      </c>
      <c r="E1251" s="192" t="s">
        <v>369</v>
      </c>
      <c r="F1251" s="174"/>
      <c r="G1251" s="185">
        <v>109.5</v>
      </c>
      <c r="H1251" s="106">
        <v>112.25</v>
      </c>
      <c r="I1251" s="201"/>
      <c r="J1251" s="107" t="s">
        <v>428</v>
      </c>
      <c r="K1251" s="107">
        <v>44196</v>
      </c>
      <c r="L1251" s="99"/>
      <c r="M1251" s="99"/>
      <c r="N1251" s="173" t="s">
        <v>429</v>
      </c>
    </row>
    <row r="1252" spans="1:14" ht="15.65" hidden="1" customHeight="1" x14ac:dyDescent="0.35">
      <c r="A1252" s="183" t="s">
        <v>1235</v>
      </c>
      <c r="B1252" s="183"/>
      <c r="C1252" s="184" t="s">
        <v>1236</v>
      </c>
      <c r="D1252" s="168" t="s">
        <v>427</v>
      </c>
      <c r="E1252" s="192" t="s">
        <v>369</v>
      </c>
      <c r="F1252" s="174"/>
      <c r="G1252" s="185">
        <v>109.5</v>
      </c>
      <c r="H1252" s="106">
        <v>112.25</v>
      </c>
      <c r="I1252" s="99"/>
      <c r="J1252" s="107" t="s">
        <v>428</v>
      </c>
      <c r="K1252" s="107">
        <v>44561</v>
      </c>
      <c r="L1252" s="169" t="s">
        <v>1237</v>
      </c>
      <c r="M1252" s="99"/>
      <c r="N1252" s="173" t="s">
        <v>443</v>
      </c>
    </row>
    <row r="1253" spans="1:14" ht="15.65" hidden="1" customHeight="1" x14ac:dyDescent="0.35">
      <c r="A1253" s="183" t="s">
        <v>1235</v>
      </c>
      <c r="B1253" s="183"/>
      <c r="C1253" s="184" t="s">
        <v>1236</v>
      </c>
      <c r="D1253" s="168" t="s">
        <v>444</v>
      </c>
      <c r="E1253" s="192" t="s">
        <v>369</v>
      </c>
      <c r="F1253" s="174"/>
      <c r="G1253" s="185">
        <v>109.5</v>
      </c>
      <c r="H1253" s="106">
        <v>112.25</v>
      </c>
      <c r="I1253" s="99"/>
      <c r="J1253" s="107" t="s">
        <v>428</v>
      </c>
      <c r="K1253" s="107">
        <v>44926</v>
      </c>
      <c r="L1253" s="169"/>
      <c r="M1253" s="99"/>
      <c r="N1253" s="173" t="s">
        <v>418</v>
      </c>
    </row>
    <row r="1254" spans="1:14" ht="15.65" hidden="1" customHeight="1" x14ac:dyDescent="0.35">
      <c r="A1254" s="183" t="s">
        <v>591</v>
      </c>
      <c r="B1254" s="183"/>
      <c r="C1254" s="174" t="s">
        <v>592</v>
      </c>
      <c r="D1254" s="290" t="s">
        <v>444</v>
      </c>
      <c r="E1254" s="192" t="s">
        <v>369</v>
      </c>
      <c r="F1254" s="174"/>
      <c r="G1254" s="185">
        <v>90</v>
      </c>
      <c r="H1254" s="185">
        <v>92.75</v>
      </c>
      <c r="I1254" s="187"/>
      <c r="J1254" s="99" t="s">
        <v>428</v>
      </c>
      <c r="K1254" s="107">
        <v>44926</v>
      </c>
      <c r="L1254" s="169"/>
      <c r="M1254" s="99" t="s">
        <v>104</v>
      </c>
      <c r="N1254" s="169" t="s">
        <v>418</v>
      </c>
    </row>
    <row r="1255" spans="1:14" ht="15.65" hidden="1" customHeight="1" x14ac:dyDescent="0.35">
      <c r="A1255" s="183" t="s">
        <v>591</v>
      </c>
      <c r="B1255" s="183"/>
      <c r="C1255" s="174" t="s">
        <v>592</v>
      </c>
      <c r="D1255" s="290" t="s">
        <v>444</v>
      </c>
      <c r="E1255" s="192" t="s">
        <v>369</v>
      </c>
      <c r="F1255" s="174"/>
      <c r="G1255" s="185">
        <v>90</v>
      </c>
      <c r="H1255" s="185">
        <v>92.75</v>
      </c>
      <c r="I1255" s="187"/>
      <c r="J1255" s="99" t="s">
        <v>449</v>
      </c>
      <c r="K1255" s="107">
        <v>44926</v>
      </c>
      <c r="L1255" s="99"/>
      <c r="M1255" s="99" t="s">
        <v>104</v>
      </c>
      <c r="N1255" s="169" t="s">
        <v>418</v>
      </c>
    </row>
    <row r="1256" spans="1:14" ht="15.65" hidden="1" customHeight="1" x14ac:dyDescent="0.35">
      <c r="A1256" s="183" t="s">
        <v>594</v>
      </c>
      <c r="B1256" s="183"/>
      <c r="C1256" s="184" t="s">
        <v>595</v>
      </c>
      <c r="D1256" s="168" t="s">
        <v>444</v>
      </c>
      <c r="E1256" s="192" t="s">
        <v>369</v>
      </c>
      <c r="F1256" s="174"/>
      <c r="G1256" s="296">
        <v>95</v>
      </c>
      <c r="H1256" s="215">
        <f>G1256+2.75</f>
        <v>97.75</v>
      </c>
      <c r="I1256" s="99"/>
      <c r="J1256" s="107" t="s">
        <v>428</v>
      </c>
      <c r="K1256" s="107">
        <v>44926</v>
      </c>
      <c r="L1256" s="99"/>
      <c r="M1256" s="99"/>
      <c r="N1256" s="182" t="s">
        <v>418</v>
      </c>
    </row>
    <row r="1257" spans="1:14" ht="15.65" hidden="1" customHeight="1" x14ac:dyDescent="0.35">
      <c r="A1257" s="183" t="s">
        <v>260</v>
      </c>
      <c r="B1257" s="183"/>
      <c r="C1257" s="184" t="s">
        <v>385</v>
      </c>
      <c r="D1257" s="168" t="s">
        <v>444</v>
      </c>
      <c r="E1257" s="192" t="s">
        <v>369</v>
      </c>
      <c r="F1257" s="174"/>
      <c r="G1257" s="185">
        <v>41.6</v>
      </c>
      <c r="H1257" s="185">
        <f>G1257+2.75</f>
        <v>44.35</v>
      </c>
      <c r="I1257" s="187"/>
      <c r="J1257" s="99" t="s">
        <v>428</v>
      </c>
      <c r="K1257" s="107">
        <v>44926</v>
      </c>
      <c r="L1257" s="99"/>
      <c r="M1257" s="99"/>
      <c r="N1257" s="99" t="s">
        <v>418</v>
      </c>
    </row>
    <row r="1258" spans="1:14" ht="15.65" hidden="1" customHeight="1" x14ac:dyDescent="0.35">
      <c r="A1258" s="299" t="s">
        <v>264</v>
      </c>
      <c r="B1258" s="299"/>
      <c r="C1258" s="300" t="s">
        <v>991</v>
      </c>
      <c r="D1258" s="301" t="s">
        <v>427</v>
      </c>
      <c r="E1258" s="192" t="s">
        <v>369</v>
      </c>
      <c r="F1258" s="238"/>
      <c r="G1258" s="302">
        <v>165</v>
      </c>
      <c r="H1258" s="302">
        <f>G1258+2.75</f>
        <v>167.75</v>
      </c>
      <c r="I1258" s="540"/>
      <c r="J1258" s="100" t="s">
        <v>428</v>
      </c>
      <c r="K1258" s="111">
        <v>44561</v>
      </c>
      <c r="L1258" s="100" t="s">
        <v>494</v>
      </c>
      <c r="M1258" s="100" t="s">
        <v>20</v>
      </c>
      <c r="N1258" s="100" t="s">
        <v>457</v>
      </c>
    </row>
    <row r="1259" spans="1:14" ht="15.65" hidden="1" customHeight="1" x14ac:dyDescent="0.35">
      <c r="A1259" s="183" t="s">
        <v>264</v>
      </c>
      <c r="B1259" s="183"/>
      <c r="C1259" s="184" t="s">
        <v>991</v>
      </c>
      <c r="D1259" s="168" t="s">
        <v>427</v>
      </c>
      <c r="E1259" s="331" t="s">
        <v>369</v>
      </c>
      <c r="F1259" s="174"/>
      <c r="G1259" s="185">
        <v>65.8</v>
      </c>
      <c r="H1259" s="185">
        <v>68.55</v>
      </c>
      <c r="I1259" s="186"/>
      <c r="J1259" s="99" t="s">
        <v>449</v>
      </c>
      <c r="K1259" s="107">
        <v>44561</v>
      </c>
      <c r="L1259" s="99" t="s">
        <v>494</v>
      </c>
      <c r="M1259" s="99" t="s">
        <v>20</v>
      </c>
      <c r="N1259" s="99" t="s">
        <v>457</v>
      </c>
    </row>
    <row r="1260" spans="1:14" ht="15.65" hidden="1" customHeight="1" x14ac:dyDescent="0.35">
      <c r="A1260" s="183" t="s">
        <v>264</v>
      </c>
      <c r="B1260" s="183"/>
      <c r="C1260" s="184" t="s">
        <v>991</v>
      </c>
      <c r="D1260" s="168" t="s">
        <v>444</v>
      </c>
      <c r="E1260" s="331" t="s">
        <v>369</v>
      </c>
      <c r="F1260" s="174"/>
      <c r="G1260" s="185">
        <v>65.8</v>
      </c>
      <c r="H1260" s="185">
        <v>68.55</v>
      </c>
      <c r="I1260" s="187"/>
      <c r="J1260" s="99" t="s">
        <v>449</v>
      </c>
      <c r="K1260" s="107">
        <v>44926</v>
      </c>
      <c r="L1260" s="99"/>
      <c r="M1260" s="99"/>
      <c r="N1260" s="99" t="s">
        <v>458</v>
      </c>
    </row>
    <row r="1261" spans="1:14" ht="15.65" hidden="1" customHeight="1" x14ac:dyDescent="0.35">
      <c r="A1261" s="183" t="s">
        <v>264</v>
      </c>
      <c r="B1261" s="183"/>
      <c r="C1261" s="184" t="s">
        <v>991</v>
      </c>
      <c r="D1261" s="168" t="s">
        <v>444</v>
      </c>
      <c r="E1261" s="331" t="s">
        <v>369</v>
      </c>
      <c r="F1261" s="174"/>
      <c r="G1261" s="185">
        <v>65.8</v>
      </c>
      <c r="H1261" s="185">
        <f>G1261+2.75</f>
        <v>68.55</v>
      </c>
      <c r="I1261" s="187"/>
      <c r="J1261" s="99" t="s">
        <v>428</v>
      </c>
      <c r="K1261" s="107">
        <v>44926</v>
      </c>
      <c r="L1261" s="99"/>
      <c r="M1261" s="99"/>
      <c r="N1261" s="99" t="s">
        <v>418</v>
      </c>
    </row>
    <row r="1262" spans="1:14" ht="15.65" hidden="1" customHeight="1" x14ac:dyDescent="0.35">
      <c r="A1262" s="183" t="s">
        <v>1238</v>
      </c>
      <c r="B1262" s="183"/>
      <c r="C1262" s="184" t="s">
        <v>1239</v>
      </c>
      <c r="D1262" s="168" t="s">
        <v>537</v>
      </c>
      <c r="E1262" s="331" t="s">
        <v>369</v>
      </c>
      <c r="F1262" s="174"/>
      <c r="G1262" s="185">
        <v>25.4</v>
      </c>
      <c r="H1262" s="185">
        <f>G1262+2.75</f>
        <v>28.15</v>
      </c>
      <c r="I1262" s="186"/>
      <c r="J1262" s="99" t="s">
        <v>428</v>
      </c>
      <c r="K1262" s="107">
        <v>44196</v>
      </c>
      <c r="L1262" s="169" t="s">
        <v>1240</v>
      </c>
      <c r="M1262" s="99"/>
      <c r="N1262" s="99" t="s">
        <v>537</v>
      </c>
    </row>
    <row r="1263" spans="1:14" ht="15.65" hidden="1" customHeight="1" x14ac:dyDescent="0.35">
      <c r="A1263" s="183" t="s">
        <v>610</v>
      </c>
      <c r="B1263" s="183"/>
      <c r="C1263" s="184" t="s">
        <v>611</v>
      </c>
      <c r="D1263" s="168" t="s">
        <v>427</v>
      </c>
      <c r="E1263" s="330" t="s">
        <v>369</v>
      </c>
      <c r="F1263" s="174"/>
      <c r="G1263" s="185">
        <v>43.05</v>
      </c>
      <c r="H1263" s="185">
        <f>G1263+2.75</f>
        <v>45.8</v>
      </c>
      <c r="I1263" s="187"/>
      <c r="J1263" s="99" t="s">
        <v>437</v>
      </c>
      <c r="K1263" s="107">
        <v>44561</v>
      </c>
      <c r="L1263" s="99"/>
      <c r="M1263" s="99" t="s">
        <v>20</v>
      </c>
      <c r="N1263" s="99" t="s">
        <v>457</v>
      </c>
    </row>
    <row r="1264" spans="1:14" ht="15.65" hidden="1" customHeight="1" x14ac:dyDescent="0.35">
      <c r="A1264" s="183" t="s">
        <v>610</v>
      </c>
      <c r="B1264" s="183"/>
      <c r="C1264" s="184" t="s">
        <v>611</v>
      </c>
      <c r="D1264" s="168" t="s">
        <v>427</v>
      </c>
      <c r="E1264" s="330" t="s">
        <v>369</v>
      </c>
      <c r="F1264" s="174"/>
      <c r="G1264" s="185">
        <v>43.05</v>
      </c>
      <c r="H1264" s="185">
        <f>G1264+2.75</f>
        <v>45.8</v>
      </c>
      <c r="I1264" s="187"/>
      <c r="J1264" s="99" t="s">
        <v>428</v>
      </c>
      <c r="K1264" s="107">
        <v>44196</v>
      </c>
      <c r="L1264" s="99"/>
      <c r="M1264" s="99" t="s">
        <v>20</v>
      </c>
      <c r="N1264" s="99" t="s">
        <v>429</v>
      </c>
    </row>
    <row r="1265" spans="1:14" ht="15.65" hidden="1" customHeight="1" x14ac:dyDescent="0.35">
      <c r="A1265" s="188" t="s">
        <v>610</v>
      </c>
      <c r="B1265" s="188"/>
      <c r="C1265" s="184" t="s">
        <v>611</v>
      </c>
      <c r="D1265" s="168" t="s">
        <v>427</v>
      </c>
      <c r="E1265" s="330" t="s">
        <v>369</v>
      </c>
      <c r="F1265" s="174"/>
      <c r="G1265" s="106">
        <v>39.17</v>
      </c>
      <c r="H1265" s="106">
        <v>41.93</v>
      </c>
      <c r="I1265" s="99"/>
      <c r="J1265" s="169" t="s">
        <v>1241</v>
      </c>
      <c r="K1265" s="307" t="s">
        <v>1242</v>
      </c>
      <c r="L1265" s="169" t="s">
        <v>1243</v>
      </c>
      <c r="M1265" s="99" t="s">
        <v>20</v>
      </c>
      <c r="N1265" s="99" t="s">
        <v>427</v>
      </c>
    </row>
    <row r="1266" spans="1:14" ht="15.65" hidden="1" customHeight="1" x14ac:dyDescent="0.35">
      <c r="A1266" s="188" t="s">
        <v>610</v>
      </c>
      <c r="B1266" s="188"/>
      <c r="C1266" s="184" t="s">
        <v>611</v>
      </c>
      <c r="D1266" s="168" t="s">
        <v>427</v>
      </c>
      <c r="E1266" s="330" t="s">
        <v>369</v>
      </c>
      <c r="F1266" s="174"/>
      <c r="G1266" s="185">
        <v>43.05</v>
      </c>
      <c r="H1266" s="185">
        <v>45.8</v>
      </c>
      <c r="I1266" s="187"/>
      <c r="J1266" s="99" t="s">
        <v>449</v>
      </c>
      <c r="K1266" s="107">
        <v>44561</v>
      </c>
      <c r="L1266" s="99" t="s">
        <v>494</v>
      </c>
      <c r="M1266" s="99" t="s">
        <v>20</v>
      </c>
      <c r="N1266" s="99" t="s">
        <v>457</v>
      </c>
    </row>
    <row r="1267" spans="1:14" ht="15.65" hidden="1" customHeight="1" x14ac:dyDescent="0.35">
      <c r="A1267" s="183" t="s">
        <v>610</v>
      </c>
      <c r="B1267" s="183"/>
      <c r="C1267" s="184" t="s">
        <v>611</v>
      </c>
      <c r="D1267" s="168" t="s">
        <v>427</v>
      </c>
      <c r="E1267" s="330" t="s">
        <v>369</v>
      </c>
      <c r="F1267" s="174"/>
      <c r="G1267" s="185">
        <v>39.17</v>
      </c>
      <c r="H1267" s="185">
        <f>G1267+2.75</f>
        <v>41.92</v>
      </c>
      <c r="I1267" s="187"/>
      <c r="J1267" s="99" t="s">
        <v>428</v>
      </c>
      <c r="K1267" s="107">
        <v>44561</v>
      </c>
      <c r="L1267" s="189" t="s">
        <v>1244</v>
      </c>
      <c r="M1267" s="99" t="s">
        <v>20</v>
      </c>
      <c r="N1267" s="99" t="s">
        <v>443</v>
      </c>
    </row>
    <row r="1268" spans="1:14" ht="15.65" hidden="1" customHeight="1" x14ac:dyDescent="0.35">
      <c r="A1268" s="183" t="s">
        <v>610</v>
      </c>
      <c r="B1268" s="183"/>
      <c r="C1268" s="184" t="s">
        <v>611</v>
      </c>
      <c r="D1268" s="168" t="s">
        <v>427</v>
      </c>
      <c r="E1268" s="330" t="s">
        <v>369</v>
      </c>
      <c r="F1268" s="174"/>
      <c r="G1268" s="185">
        <v>43.05</v>
      </c>
      <c r="H1268" s="185">
        <f>G1268+2.75</f>
        <v>45.8</v>
      </c>
      <c r="I1268" s="187"/>
      <c r="J1268" s="99" t="s">
        <v>428</v>
      </c>
      <c r="K1268" s="107">
        <v>44561</v>
      </c>
      <c r="L1268" s="169" t="s">
        <v>1245</v>
      </c>
      <c r="M1268" s="99" t="s">
        <v>20</v>
      </c>
      <c r="N1268" s="99" t="s">
        <v>443</v>
      </c>
    </row>
    <row r="1269" spans="1:14" ht="15.65" hidden="1" customHeight="1" x14ac:dyDescent="0.35">
      <c r="A1269" s="183" t="s">
        <v>610</v>
      </c>
      <c r="B1269" s="183"/>
      <c r="C1269" s="184" t="s">
        <v>611</v>
      </c>
      <c r="D1269" s="168" t="s">
        <v>427</v>
      </c>
      <c r="E1269" s="330" t="s">
        <v>369</v>
      </c>
      <c r="F1269" s="174"/>
      <c r="G1269" s="185">
        <v>43.05</v>
      </c>
      <c r="H1269" s="185">
        <f>G1269+2.75</f>
        <v>45.8</v>
      </c>
      <c r="I1269" s="187"/>
      <c r="J1269" s="99" t="s">
        <v>437</v>
      </c>
      <c r="K1269" s="107">
        <v>44926</v>
      </c>
      <c r="L1269" s="169" t="s">
        <v>1203</v>
      </c>
      <c r="M1269" s="99" t="s">
        <v>20</v>
      </c>
      <c r="N1269" s="99" t="s">
        <v>439</v>
      </c>
    </row>
    <row r="1270" spans="1:14" ht="15.65" hidden="1" customHeight="1" x14ac:dyDescent="0.35">
      <c r="A1270" s="183" t="s">
        <v>610</v>
      </c>
      <c r="B1270" s="183"/>
      <c r="C1270" s="184" t="s">
        <v>611</v>
      </c>
      <c r="D1270" s="168" t="s">
        <v>465</v>
      </c>
      <c r="E1270" s="330" t="s">
        <v>369</v>
      </c>
      <c r="F1270" s="174"/>
      <c r="G1270" s="185">
        <v>39.17</v>
      </c>
      <c r="H1270" s="185">
        <f>G1270+2.75</f>
        <v>41.92</v>
      </c>
      <c r="I1270" s="187"/>
      <c r="J1270" s="99" t="s">
        <v>428</v>
      </c>
      <c r="K1270" s="107">
        <v>44926</v>
      </c>
      <c r="L1270" s="169" t="s">
        <v>1246</v>
      </c>
      <c r="M1270" s="99" t="s">
        <v>20</v>
      </c>
      <c r="N1270" s="99" t="s">
        <v>443</v>
      </c>
    </row>
    <row r="1271" spans="1:14" ht="15.65" hidden="1" customHeight="1" x14ac:dyDescent="0.35">
      <c r="A1271" s="188" t="s">
        <v>610</v>
      </c>
      <c r="B1271" s="188"/>
      <c r="C1271" s="184" t="s">
        <v>611</v>
      </c>
      <c r="D1271" s="168" t="s">
        <v>444</v>
      </c>
      <c r="E1271" s="330" t="s">
        <v>369</v>
      </c>
      <c r="F1271" s="174"/>
      <c r="G1271" s="185">
        <v>43.05</v>
      </c>
      <c r="H1271" s="185">
        <v>45.8</v>
      </c>
      <c r="I1271" s="187"/>
      <c r="J1271" s="99" t="s">
        <v>449</v>
      </c>
      <c r="K1271" s="107">
        <v>44926</v>
      </c>
      <c r="L1271" s="99"/>
      <c r="M1271" s="99" t="s">
        <v>20</v>
      </c>
      <c r="N1271" s="99" t="s">
        <v>458</v>
      </c>
    </row>
    <row r="1272" spans="1:14" ht="15.65" hidden="1" customHeight="1" x14ac:dyDescent="0.35">
      <c r="A1272" s="188" t="s">
        <v>610</v>
      </c>
      <c r="B1272" s="188"/>
      <c r="C1272" s="184" t="s">
        <v>611</v>
      </c>
      <c r="D1272" s="168" t="s">
        <v>444</v>
      </c>
      <c r="E1272" s="330" t="s">
        <v>369</v>
      </c>
      <c r="F1272" s="174"/>
      <c r="G1272" s="185">
        <v>46</v>
      </c>
      <c r="H1272" s="185">
        <v>47.75</v>
      </c>
      <c r="I1272" s="187"/>
      <c r="J1272" s="99" t="s">
        <v>509</v>
      </c>
      <c r="K1272" s="107">
        <v>44742</v>
      </c>
      <c r="L1272" s="169" t="s">
        <v>1247</v>
      </c>
      <c r="M1272" s="99" t="s">
        <v>20</v>
      </c>
      <c r="N1272" s="99" t="s">
        <v>439</v>
      </c>
    </row>
    <row r="1273" spans="1:14" ht="15.65" hidden="1" customHeight="1" x14ac:dyDescent="0.35">
      <c r="A1273" s="183" t="s">
        <v>610</v>
      </c>
      <c r="B1273" s="183"/>
      <c r="C1273" s="184" t="s">
        <v>611</v>
      </c>
      <c r="D1273" s="168" t="s">
        <v>465</v>
      </c>
      <c r="E1273" s="330" t="s">
        <v>369</v>
      </c>
      <c r="F1273" s="174"/>
      <c r="G1273" s="185">
        <v>43.05</v>
      </c>
      <c r="H1273" s="185">
        <v>38</v>
      </c>
      <c r="I1273" s="187"/>
      <c r="J1273" s="99" t="s">
        <v>437</v>
      </c>
      <c r="K1273" s="107">
        <v>44926</v>
      </c>
      <c r="L1273" s="169" t="s">
        <v>1248</v>
      </c>
      <c r="M1273" s="99" t="s">
        <v>20</v>
      </c>
      <c r="N1273" s="99" t="s">
        <v>439</v>
      </c>
    </row>
    <row r="1274" spans="1:14" ht="15.65" hidden="1" customHeight="1" x14ac:dyDescent="0.35">
      <c r="A1274" s="183" t="s">
        <v>613</v>
      </c>
      <c r="B1274" s="183"/>
      <c r="C1274" s="184" t="s">
        <v>614</v>
      </c>
      <c r="D1274" s="168" t="s">
        <v>1249</v>
      </c>
      <c r="E1274" s="331" t="s">
        <v>369</v>
      </c>
      <c r="F1274" s="174"/>
      <c r="G1274" s="185">
        <v>76</v>
      </c>
      <c r="H1274" s="185">
        <f t="shared" ref="H1274:H1286" si="18">G1274+2.75</f>
        <v>78.75</v>
      </c>
      <c r="I1274" s="187"/>
      <c r="J1274" s="99" t="s">
        <v>509</v>
      </c>
      <c r="K1274" s="107">
        <v>44926</v>
      </c>
      <c r="L1274" s="99"/>
      <c r="M1274" s="99" t="s">
        <v>20</v>
      </c>
      <c r="N1274" s="99" t="s">
        <v>418</v>
      </c>
    </row>
    <row r="1275" spans="1:14" s="89" customFormat="1" ht="15.65" hidden="1" customHeight="1" x14ac:dyDescent="0.35">
      <c r="A1275" s="183" t="s">
        <v>613</v>
      </c>
      <c r="B1275" s="183"/>
      <c r="C1275" s="184" t="s">
        <v>614</v>
      </c>
      <c r="D1275" s="168" t="s">
        <v>1249</v>
      </c>
      <c r="E1275" s="331" t="s">
        <v>369</v>
      </c>
      <c r="F1275" s="174"/>
      <c r="G1275" s="185">
        <v>76</v>
      </c>
      <c r="H1275" s="185">
        <f t="shared" si="18"/>
        <v>78.75</v>
      </c>
      <c r="I1275" s="187"/>
      <c r="J1275" s="99" t="s">
        <v>428</v>
      </c>
      <c r="K1275" s="107">
        <v>44926</v>
      </c>
      <c r="L1275" s="99"/>
      <c r="M1275" s="99" t="s">
        <v>20</v>
      </c>
      <c r="N1275" s="99" t="s">
        <v>418</v>
      </c>
    </row>
    <row r="1276" spans="1:14" s="89" customFormat="1" ht="15.65" hidden="1" customHeight="1" x14ac:dyDescent="0.35">
      <c r="A1276" s="183" t="s">
        <v>621</v>
      </c>
      <c r="B1276" s="183"/>
      <c r="C1276" s="184" t="s">
        <v>622</v>
      </c>
      <c r="D1276" s="168" t="s">
        <v>444</v>
      </c>
      <c r="E1276" s="211" t="s">
        <v>369</v>
      </c>
      <c r="F1276" s="174"/>
      <c r="G1276" s="185">
        <v>38.9</v>
      </c>
      <c r="H1276" s="185">
        <f t="shared" si="18"/>
        <v>41.65</v>
      </c>
      <c r="I1276" s="187"/>
      <c r="J1276" s="99" t="s">
        <v>428</v>
      </c>
      <c r="K1276" s="107">
        <v>44926</v>
      </c>
      <c r="L1276" s="99"/>
      <c r="M1276" s="99" t="s">
        <v>20</v>
      </c>
      <c r="N1276" s="99" t="s">
        <v>418</v>
      </c>
    </row>
    <row r="1277" spans="1:14" s="89" customFormat="1" ht="30" hidden="1" customHeight="1" x14ac:dyDescent="0.35">
      <c r="A1277" s="183" t="s">
        <v>621</v>
      </c>
      <c r="B1277" s="183"/>
      <c r="C1277" s="184" t="s">
        <v>622</v>
      </c>
      <c r="D1277" s="168" t="s">
        <v>444</v>
      </c>
      <c r="E1277" s="211" t="s">
        <v>369</v>
      </c>
      <c r="F1277" s="174"/>
      <c r="G1277" s="185">
        <v>31.6</v>
      </c>
      <c r="H1277" s="185">
        <f t="shared" si="18"/>
        <v>34.35</v>
      </c>
      <c r="I1277" s="187"/>
      <c r="J1277" s="99" t="s">
        <v>449</v>
      </c>
      <c r="K1277" s="107">
        <v>44925</v>
      </c>
      <c r="L1277" s="169" t="s">
        <v>1250</v>
      </c>
      <c r="M1277" s="99" t="s">
        <v>20</v>
      </c>
      <c r="N1277" s="99" t="s">
        <v>443</v>
      </c>
    </row>
    <row r="1278" spans="1:14" s="89" customFormat="1" ht="15.65" hidden="1" customHeight="1" x14ac:dyDescent="0.35">
      <c r="A1278" s="183" t="s">
        <v>274</v>
      </c>
      <c r="B1278" s="183"/>
      <c r="C1278" s="184" t="s">
        <v>623</v>
      </c>
      <c r="D1278" s="168" t="s">
        <v>427</v>
      </c>
      <c r="E1278" s="211" t="s">
        <v>369</v>
      </c>
      <c r="F1278" s="174"/>
      <c r="G1278" s="185">
        <v>50.3</v>
      </c>
      <c r="H1278" s="185">
        <f t="shared" si="18"/>
        <v>53.05</v>
      </c>
      <c r="I1278" s="186"/>
      <c r="J1278" s="99" t="s">
        <v>428</v>
      </c>
      <c r="K1278" s="107">
        <v>44561</v>
      </c>
      <c r="L1278" s="99"/>
      <c r="M1278" s="99" t="s">
        <v>20</v>
      </c>
      <c r="N1278" s="99" t="s">
        <v>457</v>
      </c>
    </row>
    <row r="1279" spans="1:14" s="89" customFormat="1" ht="15.65" hidden="1" customHeight="1" x14ac:dyDescent="0.35">
      <c r="A1279" s="183" t="s">
        <v>274</v>
      </c>
      <c r="B1279" s="183"/>
      <c r="C1279" s="184" t="s">
        <v>623</v>
      </c>
      <c r="D1279" s="168" t="s">
        <v>444</v>
      </c>
      <c r="E1279" s="211" t="s">
        <v>369</v>
      </c>
      <c r="F1279" s="174"/>
      <c r="G1279" s="185">
        <v>50.3</v>
      </c>
      <c r="H1279" s="185">
        <f t="shared" si="18"/>
        <v>53.05</v>
      </c>
      <c r="I1279" s="187"/>
      <c r="J1279" s="99" t="s">
        <v>428</v>
      </c>
      <c r="K1279" s="107">
        <v>44926</v>
      </c>
      <c r="L1279" s="99"/>
      <c r="M1279" s="99" t="s">
        <v>20</v>
      </c>
      <c r="N1279" s="99" t="s">
        <v>418</v>
      </c>
    </row>
    <row r="1280" spans="1:14" s="89" customFormat="1" ht="15.65" hidden="1" customHeight="1" x14ac:dyDescent="0.35">
      <c r="A1280" s="183" t="s">
        <v>635</v>
      </c>
      <c r="B1280" s="183"/>
      <c r="C1280" s="184" t="s">
        <v>636</v>
      </c>
      <c r="D1280" s="168" t="s">
        <v>444</v>
      </c>
      <c r="E1280" s="337" t="s">
        <v>369</v>
      </c>
      <c r="F1280" s="174"/>
      <c r="G1280" s="185">
        <v>67.599999999999994</v>
      </c>
      <c r="H1280" s="215">
        <f t="shared" si="18"/>
        <v>70.349999999999994</v>
      </c>
      <c r="I1280" s="99"/>
      <c r="J1280" s="107" t="s">
        <v>428</v>
      </c>
      <c r="K1280" s="107">
        <v>44926</v>
      </c>
      <c r="L1280" s="99"/>
      <c r="M1280" s="99"/>
      <c r="N1280" s="173" t="s">
        <v>418</v>
      </c>
    </row>
    <row r="1281" spans="1:14" s="89" customFormat="1" ht="15.65" hidden="1" customHeight="1" x14ac:dyDescent="0.35">
      <c r="A1281" s="183" t="s">
        <v>1251</v>
      </c>
      <c r="B1281" s="183"/>
      <c r="C1281" s="184" t="s">
        <v>1252</v>
      </c>
      <c r="D1281" s="168" t="s">
        <v>537</v>
      </c>
      <c r="E1281" s="337" t="s">
        <v>369</v>
      </c>
      <c r="F1281" s="174"/>
      <c r="G1281" s="185">
        <v>82</v>
      </c>
      <c r="H1281" s="185">
        <f t="shared" si="18"/>
        <v>84.75</v>
      </c>
      <c r="I1281" s="99"/>
      <c r="J1281" s="99" t="s">
        <v>428</v>
      </c>
      <c r="K1281" s="107">
        <v>44196</v>
      </c>
      <c r="L1281" s="99" t="s">
        <v>538</v>
      </c>
      <c r="M1281" s="99"/>
      <c r="N1281" s="99" t="s">
        <v>537</v>
      </c>
    </row>
    <row r="1282" spans="1:14" s="89" customFormat="1" ht="15.65" hidden="1" customHeight="1" x14ac:dyDescent="0.35">
      <c r="A1282" s="183" t="s">
        <v>642</v>
      </c>
      <c r="B1282" s="183"/>
      <c r="C1282" s="184" t="s">
        <v>643</v>
      </c>
      <c r="D1282" s="168" t="s">
        <v>427</v>
      </c>
      <c r="E1282" s="330" t="s">
        <v>369</v>
      </c>
      <c r="F1282" s="174"/>
      <c r="G1282" s="185">
        <v>203.54</v>
      </c>
      <c r="H1282" s="185">
        <f t="shared" si="18"/>
        <v>206.29</v>
      </c>
      <c r="I1282" s="187"/>
      <c r="J1282" s="99" t="s">
        <v>449</v>
      </c>
      <c r="K1282" s="107">
        <v>44561</v>
      </c>
      <c r="L1282" s="169" t="s">
        <v>646</v>
      </c>
      <c r="M1282" s="99" t="s">
        <v>20</v>
      </c>
      <c r="N1282" s="99" t="s">
        <v>443</v>
      </c>
    </row>
    <row r="1283" spans="1:14" s="89" customFormat="1" ht="15.65" hidden="1" customHeight="1" x14ac:dyDescent="0.35">
      <c r="A1283" s="183" t="s">
        <v>642</v>
      </c>
      <c r="B1283" s="183"/>
      <c r="C1283" s="184" t="s">
        <v>643</v>
      </c>
      <c r="D1283" s="168" t="s">
        <v>427</v>
      </c>
      <c r="E1283" s="330" t="s">
        <v>369</v>
      </c>
      <c r="F1283" s="174"/>
      <c r="G1283" s="185">
        <v>203.54</v>
      </c>
      <c r="H1283" s="185">
        <f t="shared" si="18"/>
        <v>206.29</v>
      </c>
      <c r="I1283" s="187"/>
      <c r="J1283" s="99" t="s">
        <v>432</v>
      </c>
      <c r="K1283" s="107">
        <v>44561</v>
      </c>
      <c r="L1283" s="169" t="s">
        <v>464</v>
      </c>
      <c r="M1283" s="99" t="s">
        <v>20</v>
      </c>
      <c r="N1283" s="99" t="s">
        <v>443</v>
      </c>
    </row>
    <row r="1284" spans="1:14" s="89" customFormat="1" ht="15.65" hidden="1" customHeight="1" x14ac:dyDescent="0.35">
      <c r="A1284" s="183" t="s">
        <v>642</v>
      </c>
      <c r="B1284" s="183"/>
      <c r="C1284" s="184" t="s">
        <v>643</v>
      </c>
      <c r="D1284" s="168" t="s">
        <v>444</v>
      </c>
      <c r="E1284" s="330" t="s">
        <v>369</v>
      </c>
      <c r="F1284" s="174"/>
      <c r="G1284" s="185">
        <v>203.54</v>
      </c>
      <c r="H1284" s="185">
        <f t="shared" si="18"/>
        <v>206.29</v>
      </c>
      <c r="I1284" s="187"/>
      <c r="J1284" s="99" t="s">
        <v>432</v>
      </c>
      <c r="K1284" s="107">
        <v>44926</v>
      </c>
      <c r="L1284" s="169"/>
      <c r="M1284" s="99" t="s">
        <v>20</v>
      </c>
      <c r="N1284" s="99" t="s">
        <v>458</v>
      </c>
    </row>
    <row r="1285" spans="1:14" s="89" customFormat="1" ht="15.65" hidden="1" customHeight="1" x14ac:dyDescent="0.35">
      <c r="A1285" s="183" t="s">
        <v>642</v>
      </c>
      <c r="B1285" s="183"/>
      <c r="C1285" s="184" t="s">
        <v>643</v>
      </c>
      <c r="D1285" s="168" t="s">
        <v>444</v>
      </c>
      <c r="E1285" s="330" t="s">
        <v>369</v>
      </c>
      <c r="F1285" s="174"/>
      <c r="G1285" s="185">
        <v>212.5</v>
      </c>
      <c r="H1285" s="185">
        <f t="shared" si="18"/>
        <v>215.25</v>
      </c>
      <c r="I1285" s="187"/>
      <c r="J1285" s="99" t="s">
        <v>428</v>
      </c>
      <c r="K1285" s="107">
        <v>44926</v>
      </c>
      <c r="L1285" s="169"/>
      <c r="M1285" s="99" t="s">
        <v>20</v>
      </c>
      <c r="N1285" s="99" t="s">
        <v>418</v>
      </c>
    </row>
    <row r="1286" spans="1:14" s="89" customFormat="1" ht="15.65" hidden="1" customHeight="1" x14ac:dyDescent="0.35">
      <c r="A1286" s="183" t="s">
        <v>642</v>
      </c>
      <c r="B1286" s="183"/>
      <c r="C1286" s="184" t="s">
        <v>643</v>
      </c>
      <c r="D1286" s="168" t="s">
        <v>444</v>
      </c>
      <c r="E1286" s="330" t="s">
        <v>369</v>
      </c>
      <c r="F1286" s="174"/>
      <c r="G1286" s="185">
        <v>212.5</v>
      </c>
      <c r="H1286" s="185">
        <f t="shared" si="18"/>
        <v>215.25</v>
      </c>
      <c r="I1286" s="187"/>
      <c r="J1286" s="99" t="s">
        <v>449</v>
      </c>
      <c r="K1286" s="107">
        <v>44926</v>
      </c>
      <c r="L1286" s="169" t="s">
        <v>1253</v>
      </c>
      <c r="M1286" s="99" t="s">
        <v>20</v>
      </c>
      <c r="N1286" s="99" t="s">
        <v>443</v>
      </c>
    </row>
    <row r="1287" spans="1:14" s="89" customFormat="1" ht="15.65" hidden="1" customHeight="1" x14ac:dyDescent="0.35">
      <c r="A1287" s="183" t="s">
        <v>999</v>
      </c>
      <c r="B1287" s="183"/>
      <c r="C1287" s="184" t="s">
        <v>1000</v>
      </c>
      <c r="D1287" s="168" t="s">
        <v>427</v>
      </c>
      <c r="E1287" s="330" t="s">
        <v>369</v>
      </c>
      <c r="F1287" s="174"/>
      <c r="G1287" s="185">
        <v>298.7</v>
      </c>
      <c r="H1287" s="296" t="s">
        <v>513</v>
      </c>
      <c r="I1287" s="311"/>
      <c r="J1287" s="99" t="s">
        <v>432</v>
      </c>
      <c r="K1287" s="107">
        <v>44561</v>
      </c>
      <c r="L1287" s="169" t="s">
        <v>1254</v>
      </c>
      <c r="M1287" s="99" t="s">
        <v>20</v>
      </c>
      <c r="N1287" s="99" t="s">
        <v>433</v>
      </c>
    </row>
    <row r="1288" spans="1:14" s="89" customFormat="1" ht="15.65" hidden="1" customHeight="1" x14ac:dyDescent="0.35">
      <c r="A1288" s="183" t="s">
        <v>999</v>
      </c>
      <c r="B1288" s="183"/>
      <c r="C1288" s="184" t="s">
        <v>1000</v>
      </c>
      <c r="D1288" s="168" t="s">
        <v>427</v>
      </c>
      <c r="E1288" s="330" t="s">
        <v>369</v>
      </c>
      <c r="F1288" s="174"/>
      <c r="G1288" s="185">
        <v>312.3</v>
      </c>
      <c r="H1288" s="296" t="s">
        <v>513</v>
      </c>
      <c r="I1288" s="311"/>
      <c r="J1288" s="99" t="s">
        <v>428</v>
      </c>
      <c r="K1288" s="107">
        <v>44561</v>
      </c>
      <c r="L1288" s="99" t="s">
        <v>1255</v>
      </c>
      <c r="M1288" s="99" t="s">
        <v>20</v>
      </c>
      <c r="N1288" s="99" t="s">
        <v>457</v>
      </c>
    </row>
    <row r="1289" spans="1:14" s="89" customFormat="1" ht="15.65" hidden="1" customHeight="1" x14ac:dyDescent="0.35">
      <c r="A1289" s="183" t="s">
        <v>999</v>
      </c>
      <c r="B1289" s="183"/>
      <c r="C1289" s="184" t="s">
        <v>1000</v>
      </c>
      <c r="D1289" s="168" t="s">
        <v>444</v>
      </c>
      <c r="E1289" s="330" t="s">
        <v>369</v>
      </c>
      <c r="F1289" s="174"/>
      <c r="G1289" s="185">
        <v>298.7</v>
      </c>
      <c r="H1289" s="296" t="s">
        <v>513</v>
      </c>
      <c r="I1289" s="311"/>
      <c r="J1289" s="99" t="s">
        <v>432</v>
      </c>
      <c r="K1289" s="107">
        <v>44926</v>
      </c>
      <c r="L1289" s="169" t="s">
        <v>1254</v>
      </c>
      <c r="M1289" s="99"/>
      <c r="N1289" s="99" t="s">
        <v>458</v>
      </c>
    </row>
    <row r="1290" spans="1:14" s="89" customFormat="1" ht="15.65" hidden="1" customHeight="1" x14ac:dyDescent="0.35">
      <c r="A1290" s="183" t="s">
        <v>999</v>
      </c>
      <c r="B1290" s="183"/>
      <c r="C1290" s="184" t="s">
        <v>1000</v>
      </c>
      <c r="D1290" s="168" t="s">
        <v>444</v>
      </c>
      <c r="E1290" s="330" t="s">
        <v>369</v>
      </c>
      <c r="F1290" s="174"/>
      <c r="G1290" s="185">
        <v>298.7</v>
      </c>
      <c r="H1290" s="296" t="s">
        <v>513</v>
      </c>
      <c r="I1290" s="311"/>
      <c r="J1290" s="99" t="s">
        <v>428</v>
      </c>
      <c r="K1290" s="107">
        <v>44926</v>
      </c>
      <c r="L1290" s="169" t="s">
        <v>1255</v>
      </c>
      <c r="M1290" s="99"/>
      <c r="N1290" s="99" t="s">
        <v>418</v>
      </c>
    </row>
    <row r="1291" spans="1:14" s="89" customFormat="1" ht="15.65" hidden="1" customHeight="1" x14ac:dyDescent="0.35">
      <c r="A1291" s="183" t="s">
        <v>1256</v>
      </c>
      <c r="B1291" s="183"/>
      <c r="C1291" s="184" t="s">
        <v>1257</v>
      </c>
      <c r="D1291" s="168" t="s">
        <v>537</v>
      </c>
      <c r="E1291" s="330" t="s">
        <v>369</v>
      </c>
      <c r="F1291" s="174"/>
      <c r="G1291" s="185">
        <v>341.75</v>
      </c>
      <c r="H1291" s="185">
        <f t="shared" ref="H1291:H1297" si="19">G1291+2.75</f>
        <v>344.5</v>
      </c>
      <c r="I1291" s="187"/>
      <c r="J1291" s="99" t="s">
        <v>428</v>
      </c>
      <c r="K1291" s="107">
        <v>44196</v>
      </c>
      <c r="L1291" s="99" t="s">
        <v>538</v>
      </c>
      <c r="M1291" s="99"/>
      <c r="N1291" s="99" t="s">
        <v>537</v>
      </c>
    </row>
    <row r="1292" spans="1:14" s="89" customFormat="1" ht="15.65" hidden="1" customHeight="1" x14ac:dyDescent="0.35">
      <c r="A1292" s="183" t="s">
        <v>896</v>
      </c>
      <c r="B1292" s="183"/>
      <c r="C1292" s="184" t="s">
        <v>897</v>
      </c>
      <c r="D1292" s="168" t="s">
        <v>427</v>
      </c>
      <c r="E1292" s="330" t="s">
        <v>369</v>
      </c>
      <c r="F1292" s="174"/>
      <c r="G1292" s="185">
        <v>120.95</v>
      </c>
      <c r="H1292" s="185">
        <f t="shared" si="19"/>
        <v>123.7</v>
      </c>
      <c r="I1292" s="187"/>
      <c r="J1292" s="99" t="s">
        <v>449</v>
      </c>
      <c r="K1292" s="107">
        <v>44561</v>
      </c>
      <c r="L1292" s="99"/>
      <c r="M1292" s="99" t="s">
        <v>20</v>
      </c>
      <c r="N1292" s="99" t="s">
        <v>457</v>
      </c>
    </row>
    <row r="1293" spans="1:14" s="89" customFormat="1" ht="15.65" hidden="1" customHeight="1" x14ac:dyDescent="0.35">
      <c r="A1293" s="183" t="s">
        <v>896</v>
      </c>
      <c r="B1293" s="183"/>
      <c r="C1293" s="184" t="s">
        <v>897</v>
      </c>
      <c r="D1293" s="168" t="s">
        <v>427</v>
      </c>
      <c r="E1293" s="330" t="s">
        <v>369</v>
      </c>
      <c r="F1293" s="174"/>
      <c r="G1293" s="185">
        <v>191.4</v>
      </c>
      <c r="H1293" s="185">
        <f t="shared" si="19"/>
        <v>194.15</v>
      </c>
      <c r="I1293" s="187"/>
      <c r="J1293" s="99" t="s">
        <v>509</v>
      </c>
      <c r="K1293" s="107">
        <v>44561</v>
      </c>
      <c r="L1293" s="99"/>
      <c r="M1293" s="99" t="s">
        <v>20</v>
      </c>
      <c r="N1293" s="99" t="s">
        <v>457</v>
      </c>
    </row>
    <row r="1294" spans="1:14" s="89" customFormat="1" ht="15.65" hidden="1" customHeight="1" x14ac:dyDescent="0.35">
      <c r="A1294" s="183" t="s">
        <v>896</v>
      </c>
      <c r="B1294" s="183"/>
      <c r="C1294" s="184" t="s">
        <v>897</v>
      </c>
      <c r="D1294" s="168" t="s">
        <v>427</v>
      </c>
      <c r="E1294" s="330" t="s">
        <v>369</v>
      </c>
      <c r="F1294" s="174"/>
      <c r="G1294" s="185">
        <v>191.4</v>
      </c>
      <c r="H1294" s="185">
        <f t="shared" si="19"/>
        <v>194.15</v>
      </c>
      <c r="I1294" s="187"/>
      <c r="J1294" s="99" t="s">
        <v>428</v>
      </c>
      <c r="K1294" s="107">
        <v>44196</v>
      </c>
      <c r="L1294" s="99"/>
      <c r="M1294" s="99" t="s">
        <v>20</v>
      </c>
      <c r="N1294" s="99" t="s">
        <v>429</v>
      </c>
    </row>
    <row r="1295" spans="1:14" s="89" customFormat="1" ht="15.65" hidden="1" customHeight="1" x14ac:dyDescent="0.35">
      <c r="A1295" s="183" t="s">
        <v>896</v>
      </c>
      <c r="B1295" s="183"/>
      <c r="C1295" s="184" t="s">
        <v>897</v>
      </c>
      <c r="D1295" s="168" t="s">
        <v>444</v>
      </c>
      <c r="E1295" s="330" t="s">
        <v>369</v>
      </c>
      <c r="F1295" s="174"/>
      <c r="G1295" s="185">
        <v>127</v>
      </c>
      <c r="H1295" s="185">
        <f t="shared" si="19"/>
        <v>129.75</v>
      </c>
      <c r="I1295" s="187"/>
      <c r="J1295" s="99" t="s">
        <v>449</v>
      </c>
      <c r="K1295" s="107">
        <v>44926</v>
      </c>
      <c r="L1295" s="99"/>
      <c r="M1295" s="99" t="s">
        <v>20</v>
      </c>
      <c r="N1295" s="99" t="s">
        <v>458</v>
      </c>
    </row>
    <row r="1296" spans="1:14" s="89" customFormat="1" ht="15.65" hidden="1" customHeight="1" x14ac:dyDescent="0.35">
      <c r="A1296" s="183" t="s">
        <v>896</v>
      </c>
      <c r="B1296" s="183"/>
      <c r="C1296" s="184" t="s">
        <v>897</v>
      </c>
      <c r="D1296" s="168" t="s">
        <v>444</v>
      </c>
      <c r="E1296" s="330" t="s">
        <v>369</v>
      </c>
      <c r="F1296" s="174"/>
      <c r="G1296" s="185">
        <v>191.4</v>
      </c>
      <c r="H1296" s="185">
        <f t="shared" si="19"/>
        <v>194.15</v>
      </c>
      <c r="I1296" s="187"/>
      <c r="J1296" s="99" t="s">
        <v>509</v>
      </c>
      <c r="K1296" s="107">
        <v>44926</v>
      </c>
      <c r="L1296" s="99"/>
      <c r="M1296" s="99" t="s">
        <v>20</v>
      </c>
      <c r="N1296" s="99" t="s">
        <v>418</v>
      </c>
    </row>
    <row r="1297" spans="1:14" s="89" customFormat="1" ht="15.65" hidden="1" customHeight="1" x14ac:dyDescent="0.35">
      <c r="A1297" s="183" t="s">
        <v>896</v>
      </c>
      <c r="B1297" s="183"/>
      <c r="C1297" s="184" t="s">
        <v>897</v>
      </c>
      <c r="D1297" s="168" t="s">
        <v>444</v>
      </c>
      <c r="E1297" s="330" t="s">
        <v>369</v>
      </c>
      <c r="F1297" s="174"/>
      <c r="G1297" s="185">
        <v>191.4</v>
      </c>
      <c r="H1297" s="185">
        <f t="shared" si="19"/>
        <v>194.15</v>
      </c>
      <c r="I1297" s="187"/>
      <c r="J1297" s="99" t="s">
        <v>428</v>
      </c>
      <c r="K1297" s="107">
        <v>44926</v>
      </c>
      <c r="L1297" s="99"/>
      <c r="M1297" s="99" t="s">
        <v>20</v>
      </c>
      <c r="N1297" s="99" t="s">
        <v>418</v>
      </c>
    </row>
    <row r="1298" spans="1:14" s="89" customFormat="1" ht="15.65" hidden="1" customHeight="1" x14ac:dyDescent="0.35">
      <c r="A1298" s="183" t="s">
        <v>658</v>
      </c>
      <c r="B1298" s="183"/>
      <c r="C1298" s="184" t="s">
        <v>659</v>
      </c>
      <c r="D1298" s="168" t="s">
        <v>1</v>
      </c>
      <c r="E1298" s="211" t="s">
        <v>369</v>
      </c>
      <c r="F1298" s="174"/>
      <c r="G1298" s="185">
        <v>64.75</v>
      </c>
      <c r="H1298" s="185">
        <v>67.5</v>
      </c>
      <c r="I1298" s="187"/>
      <c r="J1298" s="99" t="s">
        <v>509</v>
      </c>
      <c r="K1298" s="107">
        <v>44926</v>
      </c>
      <c r="L1298" s="99"/>
      <c r="M1298" s="99" t="s">
        <v>20</v>
      </c>
      <c r="N1298" s="99" t="s">
        <v>418</v>
      </c>
    </row>
    <row r="1299" spans="1:14" s="89" customFormat="1" ht="15.65" hidden="1" customHeight="1" x14ac:dyDescent="0.35">
      <c r="A1299" s="183" t="s">
        <v>658</v>
      </c>
      <c r="B1299" s="183"/>
      <c r="C1299" s="184" t="s">
        <v>659</v>
      </c>
      <c r="D1299" s="168" t="s">
        <v>1</v>
      </c>
      <c r="E1299" s="211" t="s">
        <v>369</v>
      </c>
      <c r="F1299" s="174"/>
      <c r="G1299" s="185">
        <v>64.75</v>
      </c>
      <c r="H1299" s="185">
        <v>67.5</v>
      </c>
      <c r="I1299" s="187"/>
      <c r="J1299" s="99" t="s">
        <v>428</v>
      </c>
      <c r="K1299" s="107">
        <v>44926</v>
      </c>
      <c r="L1299" s="99"/>
      <c r="M1299" s="99" t="s">
        <v>20</v>
      </c>
      <c r="N1299" s="99" t="s">
        <v>418</v>
      </c>
    </row>
    <row r="1300" spans="1:14" s="89" customFormat="1" ht="15.65" hidden="1" customHeight="1" x14ac:dyDescent="0.35">
      <c r="A1300" s="188" t="s">
        <v>662</v>
      </c>
      <c r="B1300" s="188"/>
      <c r="C1300" s="184" t="s">
        <v>663</v>
      </c>
      <c r="D1300" s="168" t="s">
        <v>444</v>
      </c>
      <c r="E1300" s="211" t="s">
        <v>369</v>
      </c>
      <c r="F1300" s="174"/>
      <c r="G1300" s="185">
        <v>80.849999999999994</v>
      </c>
      <c r="H1300" s="185">
        <v>83.6</v>
      </c>
      <c r="I1300" s="187"/>
      <c r="J1300" s="99" t="s">
        <v>428</v>
      </c>
      <c r="K1300" s="107">
        <v>44926</v>
      </c>
      <c r="L1300" s="99"/>
      <c r="M1300" s="99"/>
      <c r="N1300" s="182" t="s">
        <v>418</v>
      </c>
    </row>
    <row r="1301" spans="1:14" s="89" customFormat="1" ht="15.65" hidden="1" customHeight="1" x14ac:dyDescent="0.35">
      <c r="A1301" s="183" t="s">
        <v>664</v>
      </c>
      <c r="B1301" s="183"/>
      <c r="C1301" s="184" t="s">
        <v>665</v>
      </c>
      <c r="D1301" s="168" t="s">
        <v>444</v>
      </c>
      <c r="E1301" s="337" t="s">
        <v>369</v>
      </c>
      <c r="F1301" s="174"/>
      <c r="G1301" s="185">
        <v>38.700000000000003</v>
      </c>
      <c r="H1301" s="185">
        <f>G1301+2.75</f>
        <v>41.45</v>
      </c>
      <c r="I1301" s="187"/>
      <c r="J1301" s="99" t="s">
        <v>428</v>
      </c>
      <c r="K1301" s="107">
        <v>44926</v>
      </c>
      <c r="L1301" s="99"/>
      <c r="M1301" s="99"/>
      <c r="N1301" s="99" t="s">
        <v>418</v>
      </c>
    </row>
    <row r="1302" spans="1:14" s="89" customFormat="1" ht="15.65" hidden="1" customHeight="1" x14ac:dyDescent="0.35">
      <c r="A1302" s="183" t="s">
        <v>286</v>
      </c>
      <c r="B1302" s="183"/>
      <c r="C1302" s="184" t="s">
        <v>666</v>
      </c>
      <c r="D1302" s="168" t="s">
        <v>427</v>
      </c>
      <c r="E1302" s="330" t="s">
        <v>369</v>
      </c>
      <c r="F1302" s="174"/>
      <c r="G1302" s="185">
        <v>40.6</v>
      </c>
      <c r="H1302" s="185">
        <f>G1302+2.75</f>
        <v>43.35</v>
      </c>
      <c r="I1302" s="187"/>
      <c r="J1302" s="99" t="s">
        <v>428</v>
      </c>
      <c r="K1302" s="107">
        <v>44561</v>
      </c>
      <c r="L1302" s="99"/>
      <c r="M1302" s="99" t="s">
        <v>104</v>
      </c>
      <c r="N1302" s="99" t="s">
        <v>457</v>
      </c>
    </row>
    <row r="1303" spans="1:14" s="89" customFormat="1" ht="15.65" hidden="1" customHeight="1" x14ac:dyDescent="0.35">
      <c r="A1303" s="183" t="s">
        <v>286</v>
      </c>
      <c r="B1303" s="183"/>
      <c r="C1303" s="174" t="s">
        <v>666</v>
      </c>
      <c r="D1303" s="168" t="s">
        <v>444</v>
      </c>
      <c r="E1303" s="336" t="s">
        <v>369</v>
      </c>
      <c r="F1303" s="174"/>
      <c r="G1303" s="185">
        <v>33.5</v>
      </c>
      <c r="H1303" s="106">
        <v>36.25</v>
      </c>
      <c r="I1303" s="99"/>
      <c r="J1303" s="99" t="s">
        <v>432</v>
      </c>
      <c r="K1303" s="107">
        <v>44651</v>
      </c>
      <c r="L1303" s="169" t="s">
        <v>464</v>
      </c>
      <c r="M1303" s="99" t="s">
        <v>20</v>
      </c>
      <c r="N1303" s="173" t="s">
        <v>443</v>
      </c>
    </row>
    <row r="1304" spans="1:14" s="89" customFormat="1" ht="15.65" hidden="1" customHeight="1" x14ac:dyDescent="0.35">
      <c r="A1304" s="183" t="s">
        <v>286</v>
      </c>
      <c r="B1304" s="183"/>
      <c r="C1304" s="174" t="s">
        <v>666</v>
      </c>
      <c r="D1304" s="168" t="s">
        <v>465</v>
      </c>
      <c r="E1304" s="336" t="s">
        <v>369</v>
      </c>
      <c r="F1304" s="174"/>
      <c r="G1304" s="185">
        <v>40.6</v>
      </c>
      <c r="H1304" s="185">
        <f>G1304+2.75</f>
        <v>43.35</v>
      </c>
      <c r="I1304" s="187"/>
      <c r="J1304" s="99" t="s">
        <v>428</v>
      </c>
      <c r="K1304" s="107">
        <v>44926</v>
      </c>
      <c r="L1304" s="169" t="s">
        <v>1205</v>
      </c>
      <c r="M1304" s="99" t="s">
        <v>104</v>
      </c>
      <c r="N1304" s="99" t="s">
        <v>443</v>
      </c>
    </row>
    <row r="1305" spans="1:14" s="89" customFormat="1" ht="15.65" hidden="1" customHeight="1" x14ac:dyDescent="0.35">
      <c r="A1305" s="183" t="s">
        <v>286</v>
      </c>
      <c r="B1305" s="183"/>
      <c r="C1305" s="174" t="s">
        <v>666</v>
      </c>
      <c r="D1305" s="168" t="s">
        <v>465</v>
      </c>
      <c r="E1305" s="336" t="s">
        <v>369</v>
      </c>
      <c r="F1305" s="174"/>
      <c r="G1305" s="106">
        <v>33.07</v>
      </c>
      <c r="H1305" s="106">
        <f>G1305+2.75</f>
        <v>35.82</v>
      </c>
      <c r="I1305" s="99"/>
      <c r="J1305" s="99" t="s">
        <v>437</v>
      </c>
      <c r="K1305" s="107">
        <v>44926</v>
      </c>
      <c r="L1305" s="169" t="s">
        <v>1258</v>
      </c>
      <c r="M1305" s="99" t="s">
        <v>104</v>
      </c>
      <c r="N1305" s="108" t="s">
        <v>443</v>
      </c>
    </row>
    <row r="1306" spans="1:14" s="89" customFormat="1" ht="15.65" hidden="1" customHeight="1" x14ac:dyDescent="0.35">
      <c r="A1306" s="183" t="s">
        <v>286</v>
      </c>
      <c r="B1306" s="183"/>
      <c r="C1306" s="174" t="s">
        <v>666</v>
      </c>
      <c r="D1306" s="168" t="s">
        <v>444</v>
      </c>
      <c r="E1306" s="336" t="s">
        <v>369</v>
      </c>
      <c r="F1306" s="174"/>
      <c r="G1306" s="185">
        <v>33.5</v>
      </c>
      <c r="H1306" s="106">
        <v>36.25</v>
      </c>
      <c r="I1306" s="99"/>
      <c r="J1306" s="99" t="s">
        <v>432</v>
      </c>
      <c r="K1306" s="107">
        <v>44926</v>
      </c>
      <c r="L1306" s="169"/>
      <c r="M1306" s="99" t="s">
        <v>20</v>
      </c>
      <c r="N1306" s="173" t="s">
        <v>418</v>
      </c>
    </row>
    <row r="1307" spans="1:14" s="89" customFormat="1" ht="15.65" hidden="1" customHeight="1" x14ac:dyDescent="0.35">
      <c r="A1307" s="183" t="s">
        <v>296</v>
      </c>
      <c r="B1307" s="183"/>
      <c r="C1307" s="184" t="s">
        <v>675</v>
      </c>
      <c r="D1307" s="168" t="s">
        <v>444</v>
      </c>
      <c r="E1307" s="336" t="s">
        <v>369</v>
      </c>
      <c r="F1307" s="174"/>
      <c r="G1307" s="185">
        <v>31.53</v>
      </c>
      <c r="H1307" s="185">
        <f t="shared" ref="H1307:H1312" si="20">G1307+2.75</f>
        <v>34.28</v>
      </c>
      <c r="I1307" s="187"/>
      <c r="J1307" s="99" t="s">
        <v>449</v>
      </c>
      <c r="K1307" s="107">
        <v>44926</v>
      </c>
      <c r="L1307" s="99"/>
      <c r="M1307" s="99"/>
      <c r="N1307" s="217" t="s">
        <v>458</v>
      </c>
    </row>
    <row r="1308" spans="1:14" s="89" customFormat="1" ht="15.65" hidden="1" customHeight="1" x14ac:dyDescent="0.35">
      <c r="A1308" s="183" t="s">
        <v>296</v>
      </c>
      <c r="B1308" s="183"/>
      <c r="C1308" s="184" t="s">
        <v>675</v>
      </c>
      <c r="D1308" s="168" t="s">
        <v>444</v>
      </c>
      <c r="E1308" s="336" t="s">
        <v>369</v>
      </c>
      <c r="F1308" s="174"/>
      <c r="G1308" s="185">
        <v>31.53</v>
      </c>
      <c r="H1308" s="185">
        <f t="shared" si="20"/>
        <v>34.28</v>
      </c>
      <c r="I1308" s="187"/>
      <c r="J1308" s="99" t="s">
        <v>428</v>
      </c>
      <c r="K1308" s="107">
        <v>44926</v>
      </c>
      <c r="L1308" s="99"/>
      <c r="M1308" s="99"/>
      <c r="N1308" s="217" t="s">
        <v>418</v>
      </c>
    </row>
    <row r="1309" spans="1:14" s="89" customFormat="1" ht="15.65" hidden="1" customHeight="1" x14ac:dyDescent="0.35">
      <c r="A1309" s="183" t="s">
        <v>676</v>
      </c>
      <c r="B1309" s="183"/>
      <c r="C1309" s="184" t="s">
        <v>677</v>
      </c>
      <c r="D1309" s="168" t="s">
        <v>444</v>
      </c>
      <c r="E1309" s="336" t="s">
        <v>369</v>
      </c>
      <c r="F1309" s="174"/>
      <c r="G1309" s="185">
        <v>44.2</v>
      </c>
      <c r="H1309" s="185">
        <f t="shared" si="20"/>
        <v>46.95</v>
      </c>
      <c r="I1309" s="187"/>
      <c r="J1309" s="99" t="s">
        <v>428</v>
      </c>
      <c r="K1309" s="107">
        <v>44926</v>
      </c>
      <c r="L1309" s="99"/>
      <c r="M1309" s="99"/>
      <c r="N1309" s="99" t="s">
        <v>418</v>
      </c>
    </row>
    <row r="1310" spans="1:14" s="89" customFormat="1" ht="15.65" hidden="1" customHeight="1" x14ac:dyDescent="0.35">
      <c r="A1310" s="183" t="s">
        <v>680</v>
      </c>
      <c r="B1310" s="183"/>
      <c r="C1310" s="184" t="s">
        <v>681</v>
      </c>
      <c r="D1310" s="168" t="s">
        <v>444</v>
      </c>
      <c r="E1310" s="336" t="s">
        <v>369</v>
      </c>
      <c r="F1310" s="174"/>
      <c r="G1310" s="185">
        <v>47</v>
      </c>
      <c r="H1310" s="185">
        <f t="shared" si="20"/>
        <v>49.75</v>
      </c>
      <c r="I1310" s="187"/>
      <c r="J1310" s="99" t="s">
        <v>428</v>
      </c>
      <c r="K1310" s="107">
        <v>44926</v>
      </c>
      <c r="L1310" s="169" t="s">
        <v>1259</v>
      </c>
      <c r="M1310" s="99"/>
      <c r="N1310" s="99" t="s">
        <v>443</v>
      </c>
    </row>
    <row r="1311" spans="1:14" s="89" customFormat="1" ht="15.65" hidden="1" customHeight="1" x14ac:dyDescent="0.35">
      <c r="A1311" s="183" t="s">
        <v>682</v>
      </c>
      <c r="B1311" s="183"/>
      <c r="C1311" s="184" t="s">
        <v>683</v>
      </c>
      <c r="D1311" s="168" t="s">
        <v>444</v>
      </c>
      <c r="E1311" s="211" t="s">
        <v>369</v>
      </c>
      <c r="F1311" s="174"/>
      <c r="G1311" s="185">
        <v>77</v>
      </c>
      <c r="H1311" s="185">
        <f t="shared" si="20"/>
        <v>79.75</v>
      </c>
      <c r="I1311" s="187"/>
      <c r="J1311" s="99" t="s">
        <v>428</v>
      </c>
      <c r="K1311" s="107">
        <v>44926</v>
      </c>
      <c r="L1311" s="169"/>
      <c r="M1311" s="99"/>
      <c r="N1311" s="99" t="s">
        <v>418</v>
      </c>
    </row>
    <row r="1312" spans="1:14" s="89" customFormat="1" ht="15.65" hidden="1" customHeight="1" x14ac:dyDescent="0.35">
      <c r="A1312" s="183" t="s">
        <v>379</v>
      </c>
      <c r="B1312" s="183"/>
      <c r="C1312" s="184" t="s">
        <v>380</v>
      </c>
      <c r="D1312" s="168" t="s">
        <v>444</v>
      </c>
      <c r="E1312" s="336" t="s">
        <v>369</v>
      </c>
      <c r="F1312" s="174"/>
      <c r="G1312" s="185">
        <v>50.35</v>
      </c>
      <c r="H1312" s="185">
        <f t="shared" si="20"/>
        <v>53.1</v>
      </c>
      <c r="I1312" s="187"/>
      <c r="J1312" s="99" t="s">
        <v>428</v>
      </c>
      <c r="K1312" s="107">
        <v>44926</v>
      </c>
      <c r="L1312" s="99"/>
      <c r="M1312" s="99"/>
      <c r="N1312" s="99" t="s">
        <v>418</v>
      </c>
    </row>
    <row r="1313" spans="1:14" s="89" customFormat="1" ht="15.65" hidden="1" customHeight="1" x14ac:dyDescent="0.35">
      <c r="A1313" s="188" t="s">
        <v>694</v>
      </c>
      <c r="B1313" s="188"/>
      <c r="C1313" s="329" t="s">
        <v>1260</v>
      </c>
      <c r="D1313" s="168" t="s">
        <v>1180</v>
      </c>
      <c r="E1313" s="336" t="s">
        <v>369</v>
      </c>
      <c r="F1313" s="99"/>
      <c r="G1313" s="288">
        <v>22.5</v>
      </c>
      <c r="H1313" s="288">
        <v>27.5</v>
      </c>
      <c r="I1313" s="99"/>
      <c r="J1313" s="99" t="s">
        <v>1086</v>
      </c>
      <c r="K1313" s="267">
        <v>45291</v>
      </c>
      <c r="L1313" s="99" t="s">
        <v>1261</v>
      </c>
      <c r="M1313" s="99" t="s">
        <v>100</v>
      </c>
      <c r="N1313" s="108"/>
    </row>
    <row r="1314" spans="1:14" s="89" customFormat="1" ht="15.65" hidden="1" customHeight="1" x14ac:dyDescent="0.35">
      <c r="A1314" s="183" t="s">
        <v>1015</v>
      </c>
      <c r="B1314" s="183"/>
      <c r="C1314" s="184" t="s">
        <v>1262</v>
      </c>
      <c r="D1314" s="168" t="s">
        <v>427</v>
      </c>
      <c r="E1314" s="330" t="s">
        <v>369</v>
      </c>
      <c r="F1314" s="99"/>
      <c r="G1314" s="185">
        <v>93.5</v>
      </c>
      <c r="H1314" s="185">
        <f t="shared" ref="H1314:H1319" si="21">G1314+2.75</f>
        <v>96.25</v>
      </c>
      <c r="I1314" s="187"/>
      <c r="J1314" s="99" t="s">
        <v>437</v>
      </c>
      <c r="K1314" s="107">
        <v>44561</v>
      </c>
      <c r="L1314" s="99"/>
      <c r="M1314" s="99" t="s">
        <v>20</v>
      </c>
      <c r="N1314" s="99" t="s">
        <v>433</v>
      </c>
    </row>
    <row r="1315" spans="1:14" s="89" customFormat="1" ht="15.65" hidden="1" customHeight="1" x14ac:dyDescent="0.35">
      <c r="A1315" s="183" t="s">
        <v>1015</v>
      </c>
      <c r="B1315" s="183"/>
      <c r="C1315" s="184" t="s">
        <v>1016</v>
      </c>
      <c r="D1315" s="168" t="s">
        <v>427</v>
      </c>
      <c r="E1315" s="330" t="s">
        <v>369</v>
      </c>
      <c r="F1315" s="99"/>
      <c r="G1315" s="185">
        <v>145.25</v>
      </c>
      <c r="H1315" s="185">
        <f t="shared" si="21"/>
        <v>148</v>
      </c>
      <c r="I1315" s="187"/>
      <c r="J1315" s="99" t="s">
        <v>428</v>
      </c>
      <c r="K1315" s="107">
        <v>44561</v>
      </c>
      <c r="L1315" s="99"/>
      <c r="M1315" s="99" t="s">
        <v>20</v>
      </c>
      <c r="N1315" s="99" t="s">
        <v>433</v>
      </c>
    </row>
    <row r="1316" spans="1:14" s="89" customFormat="1" ht="15.65" hidden="1" customHeight="1" x14ac:dyDescent="0.35">
      <c r="A1316" s="183" t="s">
        <v>1015</v>
      </c>
      <c r="B1316" s="183"/>
      <c r="C1316" s="184" t="s">
        <v>1262</v>
      </c>
      <c r="D1316" s="168" t="s">
        <v>465</v>
      </c>
      <c r="E1316" s="330" t="s">
        <v>369</v>
      </c>
      <c r="F1316" s="99"/>
      <c r="G1316" s="185">
        <v>93.5</v>
      </c>
      <c r="H1316" s="185">
        <f t="shared" si="21"/>
        <v>96.25</v>
      </c>
      <c r="I1316" s="187"/>
      <c r="J1316" s="99" t="s">
        <v>437</v>
      </c>
      <c r="K1316" s="107">
        <v>44926</v>
      </c>
      <c r="L1316" s="169" t="s">
        <v>1203</v>
      </c>
      <c r="M1316" s="99" t="s">
        <v>20</v>
      </c>
      <c r="N1316" s="99" t="s">
        <v>443</v>
      </c>
    </row>
    <row r="1317" spans="1:14" s="89" customFormat="1" ht="15.65" hidden="1" customHeight="1" x14ac:dyDescent="0.35">
      <c r="A1317" s="183" t="s">
        <v>1015</v>
      </c>
      <c r="B1317" s="183"/>
      <c r="C1317" s="184" t="s">
        <v>1016</v>
      </c>
      <c r="D1317" s="168" t="s">
        <v>444</v>
      </c>
      <c r="E1317" s="330" t="s">
        <v>369</v>
      </c>
      <c r="F1317" s="99"/>
      <c r="G1317" s="185">
        <v>147.80000000000001</v>
      </c>
      <c r="H1317" s="185">
        <f t="shared" si="21"/>
        <v>150.55000000000001</v>
      </c>
      <c r="I1317" s="187"/>
      <c r="J1317" s="99" t="s">
        <v>428</v>
      </c>
      <c r="K1317" s="107">
        <v>44926</v>
      </c>
      <c r="L1317" s="99"/>
      <c r="M1317" s="99" t="s">
        <v>20</v>
      </c>
      <c r="N1317" s="99" t="s">
        <v>418</v>
      </c>
    </row>
    <row r="1318" spans="1:14" s="89" customFormat="1" ht="15.65" hidden="1" customHeight="1" x14ac:dyDescent="0.35">
      <c r="A1318" s="183" t="s">
        <v>1017</v>
      </c>
      <c r="B1318" s="183"/>
      <c r="C1318" s="184" t="s">
        <v>1263</v>
      </c>
      <c r="D1318" s="168" t="s">
        <v>427</v>
      </c>
      <c r="E1318" s="330" t="s">
        <v>369</v>
      </c>
      <c r="F1318" s="99"/>
      <c r="G1318" s="185">
        <v>109.46</v>
      </c>
      <c r="H1318" s="185">
        <f t="shared" si="21"/>
        <v>112.21</v>
      </c>
      <c r="I1318" s="187"/>
      <c r="J1318" s="99" t="s">
        <v>437</v>
      </c>
      <c r="K1318" s="107">
        <v>44561</v>
      </c>
      <c r="L1318" s="99"/>
      <c r="M1318" s="99" t="s">
        <v>20</v>
      </c>
      <c r="N1318" s="99" t="s">
        <v>433</v>
      </c>
    </row>
    <row r="1319" spans="1:14" s="89" customFormat="1" ht="15.65" hidden="1" customHeight="1" x14ac:dyDescent="0.35">
      <c r="A1319" s="183" t="s">
        <v>1017</v>
      </c>
      <c r="B1319" s="183"/>
      <c r="C1319" s="184" t="s">
        <v>1018</v>
      </c>
      <c r="D1319" s="168" t="s">
        <v>427</v>
      </c>
      <c r="E1319" s="330" t="s">
        <v>369</v>
      </c>
      <c r="F1319" s="99"/>
      <c r="G1319" s="185">
        <v>146.4</v>
      </c>
      <c r="H1319" s="185">
        <f t="shared" si="21"/>
        <v>149.15</v>
      </c>
      <c r="I1319" s="187"/>
      <c r="J1319" s="99" t="s">
        <v>428</v>
      </c>
      <c r="K1319" s="107">
        <v>44561</v>
      </c>
      <c r="L1319" s="99"/>
      <c r="M1319" s="99" t="s">
        <v>20</v>
      </c>
      <c r="N1319" s="99" t="s">
        <v>457</v>
      </c>
    </row>
    <row r="1320" spans="1:14" s="89" customFormat="1" ht="15.65" hidden="1" customHeight="1" x14ac:dyDescent="0.35">
      <c r="A1320" s="183" t="s">
        <v>1017</v>
      </c>
      <c r="B1320" s="183"/>
      <c r="C1320" s="184" t="s">
        <v>1018</v>
      </c>
      <c r="D1320" s="168" t="s">
        <v>427</v>
      </c>
      <c r="E1320" s="330" t="s">
        <v>369</v>
      </c>
      <c r="F1320" s="99"/>
      <c r="G1320" s="185">
        <v>46.4</v>
      </c>
      <c r="H1320" s="106">
        <v>49.15</v>
      </c>
      <c r="I1320" s="99"/>
      <c r="J1320" s="107" t="s">
        <v>590</v>
      </c>
      <c r="K1320" s="107">
        <v>44196</v>
      </c>
      <c r="L1320" s="150" t="s">
        <v>1264</v>
      </c>
      <c r="M1320" s="150" t="s">
        <v>20</v>
      </c>
      <c r="N1320" s="99" t="s">
        <v>427</v>
      </c>
    </row>
    <row r="1321" spans="1:14" s="89" customFormat="1" ht="15.65" hidden="1" customHeight="1" x14ac:dyDescent="0.35">
      <c r="A1321" s="183" t="s">
        <v>1017</v>
      </c>
      <c r="B1321" s="183"/>
      <c r="C1321" s="184" t="s">
        <v>1263</v>
      </c>
      <c r="D1321" s="168" t="s">
        <v>465</v>
      </c>
      <c r="E1321" s="330" t="s">
        <v>369</v>
      </c>
      <c r="F1321" s="99"/>
      <c r="G1321" s="185">
        <v>109.46</v>
      </c>
      <c r="H1321" s="185">
        <f>G1321+2.75</f>
        <v>112.21</v>
      </c>
      <c r="I1321" s="187"/>
      <c r="J1321" s="99" t="s">
        <v>437</v>
      </c>
      <c r="K1321" s="107">
        <v>44926</v>
      </c>
      <c r="L1321" s="169" t="s">
        <v>1203</v>
      </c>
      <c r="M1321" s="99" t="s">
        <v>20</v>
      </c>
      <c r="N1321" s="99" t="s">
        <v>443</v>
      </c>
    </row>
    <row r="1322" spans="1:14" s="89" customFormat="1" ht="15.65" hidden="1" customHeight="1" x14ac:dyDescent="0.35">
      <c r="A1322" s="183" t="s">
        <v>1017</v>
      </c>
      <c r="B1322" s="183"/>
      <c r="C1322" s="184" t="s">
        <v>1018</v>
      </c>
      <c r="D1322" s="168" t="s">
        <v>444</v>
      </c>
      <c r="E1322" s="330" t="s">
        <v>369</v>
      </c>
      <c r="F1322" s="99"/>
      <c r="G1322" s="185">
        <v>146.4</v>
      </c>
      <c r="H1322" s="185">
        <f>G1322+2.75</f>
        <v>149.15</v>
      </c>
      <c r="I1322" s="187"/>
      <c r="J1322" s="99" t="s">
        <v>428</v>
      </c>
      <c r="K1322" s="107">
        <v>44926</v>
      </c>
      <c r="L1322" s="99"/>
      <c r="M1322" s="99" t="s">
        <v>20</v>
      </c>
      <c r="N1322" s="99" t="s">
        <v>418</v>
      </c>
    </row>
    <row r="1323" spans="1:14" s="89" customFormat="1" ht="15.65" hidden="1" customHeight="1" x14ac:dyDescent="0.35">
      <c r="A1323" s="183" t="s">
        <v>700</v>
      </c>
      <c r="B1323" s="183"/>
      <c r="C1323" s="184" t="s">
        <v>701</v>
      </c>
      <c r="D1323" s="168" t="s">
        <v>444</v>
      </c>
      <c r="E1323" s="331" t="s">
        <v>369</v>
      </c>
      <c r="F1323" s="99"/>
      <c r="G1323" s="185">
        <v>123.05</v>
      </c>
      <c r="H1323" s="185">
        <f>G1323+2.75</f>
        <v>125.8</v>
      </c>
      <c r="I1323" s="187"/>
      <c r="J1323" s="99" t="s">
        <v>428</v>
      </c>
      <c r="K1323" s="107">
        <v>44926</v>
      </c>
      <c r="L1323" s="99"/>
      <c r="M1323" s="99"/>
      <c r="N1323" s="99" t="s">
        <v>1200</v>
      </c>
    </row>
    <row r="1324" spans="1:14" s="89" customFormat="1" ht="15.65" hidden="1" customHeight="1" x14ac:dyDescent="0.35">
      <c r="A1324" s="183" t="s">
        <v>702</v>
      </c>
      <c r="B1324" s="183"/>
      <c r="C1324" s="184" t="s">
        <v>703</v>
      </c>
      <c r="D1324" s="168" t="s">
        <v>444</v>
      </c>
      <c r="E1324" s="331" t="s">
        <v>369</v>
      </c>
      <c r="F1324" s="99"/>
      <c r="G1324" s="185">
        <v>202.35</v>
      </c>
      <c r="H1324" s="185">
        <f>G1324+2.75</f>
        <v>205.1</v>
      </c>
      <c r="I1324" s="187"/>
      <c r="J1324" s="99" t="s">
        <v>428</v>
      </c>
      <c r="K1324" s="107">
        <v>44926</v>
      </c>
      <c r="L1324" s="99"/>
      <c r="M1324" s="99"/>
      <c r="N1324" s="99" t="s">
        <v>418</v>
      </c>
    </row>
    <row r="1325" spans="1:14" s="89" customFormat="1" ht="15.65" hidden="1" customHeight="1" x14ac:dyDescent="0.35">
      <c r="A1325" s="183" t="s">
        <v>702</v>
      </c>
      <c r="B1325" s="183"/>
      <c r="C1325" s="184" t="s">
        <v>703</v>
      </c>
      <c r="D1325" s="168" t="s">
        <v>444</v>
      </c>
      <c r="E1325" s="331" t="s">
        <v>369</v>
      </c>
      <c r="F1325" s="99"/>
      <c r="G1325" s="185">
        <v>202.35</v>
      </c>
      <c r="H1325" s="185">
        <v>205.1</v>
      </c>
      <c r="I1325" s="99" t="s">
        <v>428</v>
      </c>
      <c r="J1325" s="99" t="s">
        <v>509</v>
      </c>
      <c r="K1325" s="107">
        <v>44926</v>
      </c>
      <c r="L1325" s="99" t="s">
        <v>1219</v>
      </c>
      <c r="M1325" s="99" t="s">
        <v>20</v>
      </c>
      <c r="N1325" s="99" t="s">
        <v>418</v>
      </c>
    </row>
    <row r="1326" spans="1:14" s="89" customFormat="1" ht="15.65" hidden="1" customHeight="1" x14ac:dyDescent="0.35">
      <c r="A1326" s="183" t="s">
        <v>705</v>
      </c>
      <c r="B1326" s="183"/>
      <c r="C1326" s="184" t="s">
        <v>706</v>
      </c>
      <c r="D1326" s="168" t="s">
        <v>444</v>
      </c>
      <c r="E1326" s="331" t="s">
        <v>369</v>
      </c>
      <c r="F1326" s="99"/>
      <c r="G1326" s="185">
        <v>255.46</v>
      </c>
      <c r="H1326" s="185">
        <f t="shared" ref="H1326:H1336" si="22">G1326+2.75</f>
        <v>258.21000000000004</v>
      </c>
      <c r="I1326" s="187"/>
      <c r="J1326" s="99" t="s">
        <v>428</v>
      </c>
      <c r="K1326" s="107">
        <v>44926</v>
      </c>
      <c r="L1326" s="99"/>
      <c r="M1326" s="99"/>
      <c r="N1326" s="99" t="s">
        <v>418</v>
      </c>
    </row>
    <row r="1327" spans="1:14" s="89" customFormat="1" ht="15.65" hidden="1" customHeight="1" x14ac:dyDescent="0.35">
      <c r="A1327" s="183" t="s">
        <v>318</v>
      </c>
      <c r="B1327" s="183"/>
      <c r="C1327" s="184" t="s">
        <v>707</v>
      </c>
      <c r="D1327" s="168" t="s">
        <v>444</v>
      </c>
      <c r="E1327" s="331" t="s">
        <v>369</v>
      </c>
      <c r="F1327" s="99"/>
      <c r="G1327" s="185">
        <v>143.65</v>
      </c>
      <c r="H1327" s="185">
        <f t="shared" si="22"/>
        <v>146.4</v>
      </c>
      <c r="I1327" s="187"/>
      <c r="J1327" s="99" t="s">
        <v>428</v>
      </c>
      <c r="K1327" s="107">
        <v>44926</v>
      </c>
      <c r="L1327" s="99"/>
      <c r="M1327" s="99"/>
      <c r="N1327" s="99" t="s">
        <v>418</v>
      </c>
    </row>
    <row r="1328" spans="1:14" ht="15.65" hidden="1" customHeight="1" x14ac:dyDescent="0.35">
      <c r="A1328" s="183" t="s">
        <v>322</v>
      </c>
      <c r="B1328" s="183"/>
      <c r="C1328" s="184" t="s">
        <v>708</v>
      </c>
      <c r="D1328" s="168" t="s">
        <v>444</v>
      </c>
      <c r="E1328" s="192" t="s">
        <v>369</v>
      </c>
      <c r="F1328" s="99"/>
      <c r="G1328" s="185">
        <v>21.65</v>
      </c>
      <c r="H1328" s="302">
        <f t="shared" si="22"/>
        <v>24.4</v>
      </c>
      <c r="I1328" s="303"/>
      <c r="J1328" s="100" t="s">
        <v>428</v>
      </c>
      <c r="K1328" s="111">
        <v>44926</v>
      </c>
      <c r="L1328" s="233" t="s">
        <v>709</v>
      </c>
      <c r="M1328" s="99"/>
      <c r="N1328" s="99" t="s">
        <v>418</v>
      </c>
    </row>
    <row r="1329" spans="1:14" ht="15.65" hidden="1" customHeight="1" x14ac:dyDescent="0.35">
      <c r="A1329" s="183" t="s">
        <v>710</v>
      </c>
      <c r="B1329" s="183"/>
      <c r="C1329" s="184" t="s">
        <v>711</v>
      </c>
      <c r="D1329" s="168" t="s">
        <v>427</v>
      </c>
      <c r="E1329" s="168" t="s">
        <v>369</v>
      </c>
      <c r="F1329" s="99"/>
      <c r="G1329" s="506">
        <v>69.900000000000006</v>
      </c>
      <c r="H1329" s="185">
        <f t="shared" si="22"/>
        <v>72.650000000000006</v>
      </c>
      <c r="I1329" s="187"/>
      <c r="J1329" s="99" t="s">
        <v>428</v>
      </c>
      <c r="K1329" s="107">
        <v>44561</v>
      </c>
      <c r="L1329" s="306"/>
      <c r="M1329" s="99" t="s">
        <v>20</v>
      </c>
      <c r="N1329" s="99" t="s">
        <v>457</v>
      </c>
    </row>
    <row r="1330" spans="1:14" s="89" customFormat="1" ht="15.65" hidden="1" customHeight="1" x14ac:dyDescent="0.35">
      <c r="A1330" s="183" t="s">
        <v>710</v>
      </c>
      <c r="B1330" s="183"/>
      <c r="C1330" s="184" t="s">
        <v>711</v>
      </c>
      <c r="D1330" s="168" t="s">
        <v>444</v>
      </c>
      <c r="E1330" s="330" t="s">
        <v>369</v>
      </c>
      <c r="F1330" s="99"/>
      <c r="G1330" s="185">
        <v>60.2</v>
      </c>
      <c r="H1330" s="535">
        <f t="shared" si="22"/>
        <v>62.95</v>
      </c>
      <c r="I1330" s="543"/>
      <c r="J1330" s="544" t="s">
        <v>432</v>
      </c>
      <c r="K1330" s="554">
        <v>44651</v>
      </c>
      <c r="L1330" s="169" t="s">
        <v>464</v>
      </c>
      <c r="M1330" s="99" t="s">
        <v>20</v>
      </c>
      <c r="N1330" s="99" t="s">
        <v>443</v>
      </c>
    </row>
    <row r="1331" spans="1:14" ht="15.65" hidden="1" customHeight="1" x14ac:dyDescent="0.35">
      <c r="A1331" s="183" t="s">
        <v>710</v>
      </c>
      <c r="B1331" s="183"/>
      <c r="C1331" s="184" t="s">
        <v>711</v>
      </c>
      <c r="D1331" s="168" t="s">
        <v>444</v>
      </c>
      <c r="E1331" s="168" t="s">
        <v>369</v>
      </c>
      <c r="F1331" s="99"/>
      <c r="G1331" s="506">
        <v>71.3</v>
      </c>
      <c r="H1331" s="185">
        <f t="shared" si="22"/>
        <v>74.05</v>
      </c>
      <c r="I1331" s="187"/>
      <c r="J1331" s="99" t="s">
        <v>428</v>
      </c>
      <c r="K1331" s="107">
        <v>44926</v>
      </c>
      <c r="L1331" s="306"/>
      <c r="M1331" s="99" t="s">
        <v>20</v>
      </c>
      <c r="N1331" s="99" t="s">
        <v>418</v>
      </c>
    </row>
    <row r="1332" spans="1:14" ht="15.65" hidden="1" customHeight="1" x14ac:dyDescent="0.35">
      <c r="A1332" s="183" t="s">
        <v>712</v>
      </c>
      <c r="B1332" s="183"/>
      <c r="C1332" s="184" t="s">
        <v>1020</v>
      </c>
      <c r="D1332" s="168" t="s">
        <v>427</v>
      </c>
      <c r="E1332" s="168" t="s">
        <v>369</v>
      </c>
      <c r="F1332" s="99"/>
      <c r="G1332" s="506">
        <v>33.799999999999997</v>
      </c>
      <c r="H1332" s="185">
        <f t="shared" si="22"/>
        <v>36.549999999999997</v>
      </c>
      <c r="I1332" s="187"/>
      <c r="J1332" s="99" t="s">
        <v>714</v>
      </c>
      <c r="K1332" s="107">
        <v>44561</v>
      </c>
      <c r="L1332" s="306"/>
      <c r="M1332" s="99" t="s">
        <v>20</v>
      </c>
      <c r="N1332" s="99" t="s">
        <v>457</v>
      </c>
    </row>
    <row r="1333" spans="1:14" ht="15.65" hidden="1" customHeight="1" x14ac:dyDescent="0.35">
      <c r="A1333" s="299" t="s">
        <v>329</v>
      </c>
      <c r="B1333" s="299"/>
      <c r="C1333" s="300" t="s">
        <v>719</v>
      </c>
      <c r="D1333" s="301" t="s">
        <v>444</v>
      </c>
      <c r="E1333" s="301" t="s">
        <v>369</v>
      </c>
      <c r="F1333" s="99"/>
      <c r="G1333" s="513">
        <v>38.75</v>
      </c>
      <c r="H1333" s="302">
        <f t="shared" si="22"/>
        <v>41.5</v>
      </c>
      <c r="I1333" s="303"/>
      <c r="J1333" s="100" t="s">
        <v>428</v>
      </c>
      <c r="K1333" s="111">
        <v>44926</v>
      </c>
      <c r="L1333" s="563"/>
      <c r="M1333" s="100"/>
      <c r="N1333" s="100" t="s">
        <v>418</v>
      </c>
    </row>
    <row r="1334" spans="1:14" ht="15.65" hidden="1" customHeight="1" x14ac:dyDescent="0.35">
      <c r="A1334" s="183" t="s">
        <v>387</v>
      </c>
      <c r="B1334" s="183"/>
      <c r="C1334" s="184" t="s">
        <v>720</v>
      </c>
      <c r="D1334" s="168" t="s">
        <v>444</v>
      </c>
      <c r="E1334" s="168" t="s">
        <v>369</v>
      </c>
      <c r="F1334" s="495"/>
      <c r="G1334" s="185">
        <v>48.85</v>
      </c>
      <c r="H1334" s="185">
        <f t="shared" si="22"/>
        <v>51.6</v>
      </c>
      <c r="I1334" s="187"/>
      <c r="J1334" s="99" t="s">
        <v>428</v>
      </c>
      <c r="K1334" s="107">
        <v>44926</v>
      </c>
      <c r="L1334" s="99"/>
      <c r="M1334" s="99"/>
      <c r="N1334" s="99" t="s">
        <v>418</v>
      </c>
    </row>
    <row r="1335" spans="1:14" ht="15.65" hidden="1" customHeight="1" x14ac:dyDescent="0.35">
      <c r="A1335" s="445" t="s">
        <v>721</v>
      </c>
      <c r="B1335" s="445"/>
      <c r="C1335" s="464" t="s">
        <v>717</v>
      </c>
      <c r="D1335" s="343" t="s">
        <v>427</v>
      </c>
      <c r="E1335" s="343" t="s">
        <v>369</v>
      </c>
      <c r="F1335" s="99"/>
      <c r="G1335" s="517">
        <v>39.799999999999997</v>
      </c>
      <c r="H1335" s="533">
        <f t="shared" si="22"/>
        <v>42.55</v>
      </c>
      <c r="I1335" s="539"/>
      <c r="J1335" s="349" t="s">
        <v>432</v>
      </c>
      <c r="K1335" s="550">
        <v>44561</v>
      </c>
      <c r="L1335" s="567" t="s">
        <v>1265</v>
      </c>
      <c r="M1335" s="349" t="s">
        <v>20</v>
      </c>
      <c r="N1335" s="349" t="s">
        <v>427</v>
      </c>
    </row>
    <row r="1336" spans="1:14" ht="15.65" hidden="1" customHeight="1" x14ac:dyDescent="0.35">
      <c r="A1336" s="183" t="s">
        <v>721</v>
      </c>
      <c r="B1336" s="183"/>
      <c r="C1336" s="184" t="s">
        <v>717</v>
      </c>
      <c r="D1336" s="168" t="s">
        <v>427</v>
      </c>
      <c r="E1336" s="168" t="s">
        <v>369</v>
      </c>
      <c r="F1336" s="99"/>
      <c r="G1336" s="506">
        <v>64.150000000000006</v>
      </c>
      <c r="H1336" s="185">
        <f t="shared" si="22"/>
        <v>66.900000000000006</v>
      </c>
      <c r="I1336" s="187"/>
      <c r="J1336" s="99" t="s">
        <v>428</v>
      </c>
      <c r="K1336" s="107">
        <v>44561</v>
      </c>
      <c r="L1336" s="306"/>
      <c r="M1336" s="99" t="s">
        <v>20</v>
      </c>
      <c r="N1336" s="99" t="s">
        <v>457</v>
      </c>
    </row>
    <row r="1337" spans="1:14" ht="15.65" hidden="1" customHeight="1" x14ac:dyDescent="0.35">
      <c r="A1337" s="183" t="s">
        <v>721</v>
      </c>
      <c r="B1337" s="183"/>
      <c r="C1337" s="184" t="s">
        <v>717</v>
      </c>
      <c r="D1337" s="168" t="s">
        <v>1212</v>
      </c>
      <c r="E1337" s="168" t="s">
        <v>369</v>
      </c>
      <c r="F1337" s="99"/>
      <c r="G1337" s="510">
        <v>38.5</v>
      </c>
      <c r="H1337" s="106">
        <v>41.25</v>
      </c>
      <c r="I1337" s="99"/>
      <c r="J1337" s="99" t="s">
        <v>432</v>
      </c>
      <c r="K1337" s="107">
        <v>44561</v>
      </c>
      <c r="L1337" s="558" t="s">
        <v>1266</v>
      </c>
      <c r="M1337" s="99" t="s">
        <v>104</v>
      </c>
      <c r="N1337" s="108" t="s">
        <v>443</v>
      </c>
    </row>
    <row r="1338" spans="1:14" ht="15.65" hidden="1" customHeight="1" x14ac:dyDescent="0.35">
      <c r="A1338" s="183" t="s">
        <v>721</v>
      </c>
      <c r="B1338" s="183"/>
      <c r="C1338" s="184" t="s">
        <v>717</v>
      </c>
      <c r="D1338" s="168" t="s">
        <v>444</v>
      </c>
      <c r="E1338" s="168" t="s">
        <v>369</v>
      </c>
      <c r="F1338" s="99"/>
      <c r="G1338" s="506">
        <v>64.150000000000006</v>
      </c>
      <c r="H1338" s="185">
        <f t="shared" ref="H1338:H1348" si="23">G1338+2.75</f>
        <v>66.900000000000006</v>
      </c>
      <c r="I1338" s="187"/>
      <c r="J1338" s="99" t="s">
        <v>428</v>
      </c>
      <c r="K1338" s="107">
        <v>44926</v>
      </c>
      <c r="L1338" s="306"/>
      <c r="M1338" s="99" t="s">
        <v>20</v>
      </c>
      <c r="N1338" s="99" t="s">
        <v>418</v>
      </c>
    </row>
    <row r="1339" spans="1:14" ht="15.65" hidden="1" customHeight="1" x14ac:dyDescent="0.35">
      <c r="A1339" s="183" t="s">
        <v>725</v>
      </c>
      <c r="B1339" s="183"/>
      <c r="C1339" s="184" t="s">
        <v>726</v>
      </c>
      <c r="D1339" s="168" t="s">
        <v>444</v>
      </c>
      <c r="E1339" s="168" t="s">
        <v>369</v>
      </c>
      <c r="F1339" s="99"/>
      <c r="G1339" s="506">
        <v>55.8</v>
      </c>
      <c r="H1339" s="185">
        <f t="shared" si="23"/>
        <v>58.55</v>
      </c>
      <c r="I1339" s="187"/>
      <c r="J1339" s="99" t="s">
        <v>428</v>
      </c>
      <c r="K1339" s="107">
        <v>44926</v>
      </c>
      <c r="L1339" s="306"/>
      <c r="M1339" s="99"/>
      <c r="N1339" s="99" t="s">
        <v>418</v>
      </c>
    </row>
    <row r="1340" spans="1:14" ht="15.65" hidden="1" customHeight="1" x14ac:dyDescent="0.35">
      <c r="A1340" s="183" t="s">
        <v>734</v>
      </c>
      <c r="B1340" s="183"/>
      <c r="C1340" s="184" t="s">
        <v>1022</v>
      </c>
      <c r="D1340" s="168" t="s">
        <v>427</v>
      </c>
      <c r="E1340" s="168" t="s">
        <v>369</v>
      </c>
      <c r="F1340" s="99"/>
      <c r="G1340" s="506">
        <v>241</v>
      </c>
      <c r="H1340" s="185">
        <f t="shared" si="23"/>
        <v>243.75</v>
      </c>
      <c r="I1340" s="187"/>
      <c r="J1340" s="99" t="s">
        <v>437</v>
      </c>
      <c r="K1340" s="107">
        <v>44561</v>
      </c>
      <c r="L1340" s="306"/>
      <c r="M1340" s="99" t="s">
        <v>20</v>
      </c>
      <c r="N1340" s="99" t="s">
        <v>433</v>
      </c>
    </row>
    <row r="1341" spans="1:14" ht="15.65" hidden="1" customHeight="1" x14ac:dyDescent="0.35">
      <c r="A1341" s="183" t="s">
        <v>734</v>
      </c>
      <c r="B1341" s="183"/>
      <c r="C1341" s="184" t="s">
        <v>1022</v>
      </c>
      <c r="D1341" s="168" t="s">
        <v>427</v>
      </c>
      <c r="E1341" s="168" t="s">
        <v>369</v>
      </c>
      <c r="F1341" s="99"/>
      <c r="G1341" s="506">
        <v>361.25</v>
      </c>
      <c r="H1341" s="185">
        <f t="shared" si="23"/>
        <v>364</v>
      </c>
      <c r="I1341" s="187"/>
      <c r="J1341" s="99" t="s">
        <v>428</v>
      </c>
      <c r="K1341" s="107">
        <v>44561</v>
      </c>
      <c r="L1341" s="306"/>
      <c r="M1341" s="99" t="s">
        <v>20</v>
      </c>
      <c r="N1341" s="99" t="s">
        <v>433</v>
      </c>
    </row>
    <row r="1342" spans="1:14" ht="15.65" hidden="1" customHeight="1" x14ac:dyDescent="0.35">
      <c r="A1342" s="183" t="s">
        <v>734</v>
      </c>
      <c r="B1342" s="183"/>
      <c r="C1342" s="184" t="s">
        <v>1022</v>
      </c>
      <c r="D1342" s="168" t="s">
        <v>465</v>
      </c>
      <c r="E1342" s="150" t="s">
        <v>369</v>
      </c>
      <c r="F1342" s="99"/>
      <c r="G1342" s="506">
        <v>218.5</v>
      </c>
      <c r="H1342" s="185">
        <f t="shared" si="23"/>
        <v>221.25</v>
      </c>
      <c r="I1342" s="187"/>
      <c r="J1342" s="99" t="s">
        <v>437</v>
      </c>
      <c r="K1342" s="107">
        <v>44926</v>
      </c>
      <c r="L1342" s="558" t="s">
        <v>1203</v>
      </c>
      <c r="M1342" s="99" t="s">
        <v>20</v>
      </c>
      <c r="N1342" s="99" t="s">
        <v>443</v>
      </c>
    </row>
    <row r="1343" spans="1:14" ht="15.65" hidden="1" customHeight="1" x14ac:dyDescent="0.35">
      <c r="A1343" s="183" t="s">
        <v>734</v>
      </c>
      <c r="B1343" s="183"/>
      <c r="C1343" s="184" t="s">
        <v>1022</v>
      </c>
      <c r="D1343" s="168" t="s">
        <v>465</v>
      </c>
      <c r="E1343" s="150" t="s">
        <v>369</v>
      </c>
      <c r="F1343" s="99"/>
      <c r="G1343" s="506">
        <v>361.25</v>
      </c>
      <c r="H1343" s="185">
        <f t="shared" si="23"/>
        <v>364</v>
      </c>
      <c r="I1343" s="187"/>
      <c r="J1343" s="99" t="s">
        <v>428</v>
      </c>
      <c r="K1343" s="107">
        <v>44926</v>
      </c>
      <c r="L1343" s="558" t="s">
        <v>1267</v>
      </c>
      <c r="M1343" s="99" t="s">
        <v>20</v>
      </c>
      <c r="N1343" s="99" t="s">
        <v>443</v>
      </c>
    </row>
    <row r="1344" spans="1:14" ht="15.65" hidden="1" customHeight="1" x14ac:dyDescent="0.35">
      <c r="A1344" s="183" t="s">
        <v>734</v>
      </c>
      <c r="B1344" s="183"/>
      <c r="C1344" s="184" t="s">
        <v>1022</v>
      </c>
      <c r="D1344" s="168" t="s">
        <v>465</v>
      </c>
      <c r="E1344" s="150" t="s">
        <v>369</v>
      </c>
      <c r="F1344" s="99"/>
      <c r="G1344" s="506">
        <v>165.66</v>
      </c>
      <c r="H1344" s="185">
        <f t="shared" si="23"/>
        <v>168.41</v>
      </c>
      <c r="I1344" s="187"/>
      <c r="J1344" s="99" t="s">
        <v>477</v>
      </c>
      <c r="K1344" s="107">
        <v>44651</v>
      </c>
      <c r="L1344" s="558" t="s">
        <v>466</v>
      </c>
      <c r="M1344" s="99" t="s">
        <v>20</v>
      </c>
      <c r="N1344" s="99" t="s">
        <v>443</v>
      </c>
    </row>
    <row r="1345" spans="1:14" ht="15.65" hidden="1" customHeight="1" x14ac:dyDescent="0.35">
      <c r="A1345" s="183" t="s">
        <v>734</v>
      </c>
      <c r="B1345" s="183"/>
      <c r="C1345" s="184" t="s">
        <v>1022</v>
      </c>
      <c r="D1345" s="168" t="s">
        <v>465</v>
      </c>
      <c r="E1345" s="150" t="s">
        <v>369</v>
      </c>
      <c r="F1345" s="99"/>
      <c r="G1345" s="506">
        <v>173.95</v>
      </c>
      <c r="H1345" s="185">
        <f t="shared" si="23"/>
        <v>176.7</v>
      </c>
      <c r="I1345" s="187"/>
      <c r="J1345" s="99" t="s">
        <v>477</v>
      </c>
      <c r="K1345" s="107">
        <v>44926</v>
      </c>
      <c r="L1345" s="558" t="s">
        <v>1268</v>
      </c>
      <c r="M1345" s="99" t="s">
        <v>20</v>
      </c>
      <c r="N1345" s="99" t="s">
        <v>443</v>
      </c>
    </row>
    <row r="1346" spans="1:14" ht="15.65" hidden="1" customHeight="1" x14ac:dyDescent="0.35">
      <c r="A1346" s="183" t="s">
        <v>397</v>
      </c>
      <c r="B1346" s="183"/>
      <c r="C1346" s="184" t="s">
        <v>899</v>
      </c>
      <c r="D1346" s="168" t="s">
        <v>427</v>
      </c>
      <c r="E1346" s="330" t="s">
        <v>369</v>
      </c>
      <c r="F1346" s="99"/>
      <c r="G1346" s="185">
        <v>204.8</v>
      </c>
      <c r="H1346" s="533">
        <f t="shared" si="23"/>
        <v>207.55</v>
      </c>
      <c r="I1346" s="539"/>
      <c r="J1346" s="349" t="s">
        <v>428</v>
      </c>
      <c r="K1346" s="550">
        <v>44196</v>
      </c>
      <c r="L1346" s="99"/>
      <c r="M1346" s="99" t="s">
        <v>20</v>
      </c>
      <c r="N1346" s="99" t="s">
        <v>645</v>
      </c>
    </row>
    <row r="1347" spans="1:14" ht="15.65" hidden="1" customHeight="1" x14ac:dyDescent="0.35">
      <c r="A1347" s="183" t="s">
        <v>397</v>
      </c>
      <c r="B1347" s="183"/>
      <c r="C1347" s="184" t="s">
        <v>746</v>
      </c>
      <c r="D1347" s="168" t="s">
        <v>427</v>
      </c>
      <c r="E1347" s="330" t="s">
        <v>369</v>
      </c>
      <c r="F1347" s="99"/>
      <c r="G1347" s="185">
        <v>225</v>
      </c>
      <c r="H1347" s="185">
        <f t="shared" si="23"/>
        <v>227.75</v>
      </c>
      <c r="I1347" s="187"/>
      <c r="J1347" s="99" t="s">
        <v>437</v>
      </c>
      <c r="K1347" s="107">
        <v>44196</v>
      </c>
      <c r="L1347" s="99"/>
      <c r="M1347" s="99" t="s">
        <v>20</v>
      </c>
      <c r="N1347" s="99" t="s">
        <v>645</v>
      </c>
    </row>
    <row r="1348" spans="1:14" ht="15.65" hidden="1" customHeight="1" x14ac:dyDescent="0.35">
      <c r="A1348" s="183" t="s">
        <v>397</v>
      </c>
      <c r="B1348" s="183"/>
      <c r="C1348" s="184" t="s">
        <v>746</v>
      </c>
      <c r="D1348" s="168" t="s">
        <v>427</v>
      </c>
      <c r="E1348" s="330" t="s">
        <v>369</v>
      </c>
      <c r="F1348" s="99"/>
      <c r="G1348" s="185">
        <v>225.3</v>
      </c>
      <c r="H1348" s="185">
        <f t="shared" si="23"/>
        <v>228.05</v>
      </c>
      <c r="I1348" s="187"/>
      <c r="J1348" s="99" t="s">
        <v>449</v>
      </c>
      <c r="K1348" s="107">
        <v>44561</v>
      </c>
      <c r="L1348" s="99"/>
      <c r="M1348" s="99" t="s">
        <v>20</v>
      </c>
      <c r="N1348" s="217" t="s">
        <v>457</v>
      </c>
    </row>
    <row r="1349" spans="1:14" ht="15.65" hidden="1" customHeight="1" x14ac:dyDescent="0.35">
      <c r="A1349" s="299" t="s">
        <v>397</v>
      </c>
      <c r="B1349" s="299"/>
      <c r="C1349" s="300" t="s">
        <v>746</v>
      </c>
      <c r="D1349" s="168" t="s">
        <v>427</v>
      </c>
      <c r="E1349" s="330" t="s">
        <v>369</v>
      </c>
      <c r="F1349" s="100"/>
      <c r="G1349" s="302">
        <v>230</v>
      </c>
      <c r="H1349" s="346">
        <v>232.75</v>
      </c>
      <c r="I1349" s="100"/>
      <c r="J1349" s="100" t="s">
        <v>509</v>
      </c>
      <c r="K1349" s="111">
        <v>44561</v>
      </c>
      <c r="L1349" s="100"/>
      <c r="M1349" s="100" t="s">
        <v>20</v>
      </c>
      <c r="N1349" s="583" t="s">
        <v>457</v>
      </c>
    </row>
    <row r="1350" spans="1:14" ht="15.65" hidden="1" customHeight="1" x14ac:dyDescent="0.35">
      <c r="A1350" s="183" t="s">
        <v>397</v>
      </c>
      <c r="B1350" s="183"/>
      <c r="C1350" s="184" t="s">
        <v>746</v>
      </c>
      <c r="D1350" s="168" t="s">
        <v>444</v>
      </c>
      <c r="E1350" s="330" t="s">
        <v>369</v>
      </c>
      <c r="F1350" s="99"/>
      <c r="G1350" s="185">
        <v>204.8</v>
      </c>
      <c r="H1350" s="185">
        <f t="shared" ref="H1350:H1356" si="24">G1350+2.75</f>
        <v>207.55</v>
      </c>
      <c r="I1350" s="187"/>
      <c r="J1350" s="99" t="s">
        <v>432</v>
      </c>
      <c r="K1350" s="107">
        <v>44651</v>
      </c>
      <c r="L1350" s="169" t="s">
        <v>464</v>
      </c>
      <c r="M1350" s="99" t="s">
        <v>20</v>
      </c>
      <c r="N1350" s="99" t="s">
        <v>443</v>
      </c>
    </row>
    <row r="1351" spans="1:14" ht="15.65" hidden="1" customHeight="1" x14ac:dyDescent="0.35">
      <c r="A1351" s="183" t="s">
        <v>397</v>
      </c>
      <c r="B1351" s="183"/>
      <c r="C1351" s="184" t="s">
        <v>899</v>
      </c>
      <c r="D1351" s="168" t="s">
        <v>465</v>
      </c>
      <c r="E1351" s="330" t="s">
        <v>369</v>
      </c>
      <c r="F1351" s="99"/>
      <c r="G1351" s="185">
        <v>225.3</v>
      </c>
      <c r="H1351" s="185">
        <f t="shared" si="24"/>
        <v>228.05</v>
      </c>
      <c r="I1351" s="187"/>
      <c r="J1351" s="99" t="s">
        <v>428</v>
      </c>
      <c r="K1351" s="107">
        <v>44926</v>
      </c>
      <c r="L1351" s="169" t="s">
        <v>1226</v>
      </c>
      <c r="M1351" s="99" t="s">
        <v>20</v>
      </c>
      <c r="N1351" s="99" t="s">
        <v>443</v>
      </c>
    </row>
    <row r="1352" spans="1:14" ht="15.65" hidden="1" customHeight="1" x14ac:dyDescent="0.35">
      <c r="A1352" s="183" t="s">
        <v>397</v>
      </c>
      <c r="B1352" s="183"/>
      <c r="C1352" s="184" t="s">
        <v>746</v>
      </c>
      <c r="D1352" s="168" t="s">
        <v>444</v>
      </c>
      <c r="E1352" s="330" t="s">
        <v>369</v>
      </c>
      <c r="F1352" s="99"/>
      <c r="G1352" s="185">
        <v>230</v>
      </c>
      <c r="H1352" s="185">
        <f t="shared" si="24"/>
        <v>232.75</v>
      </c>
      <c r="I1352" s="187"/>
      <c r="J1352" s="99" t="s">
        <v>449</v>
      </c>
      <c r="K1352" s="107">
        <v>44926</v>
      </c>
      <c r="L1352" s="99"/>
      <c r="M1352" s="99" t="s">
        <v>20</v>
      </c>
      <c r="N1352" s="217" t="s">
        <v>458</v>
      </c>
    </row>
    <row r="1353" spans="1:14" ht="15.65" hidden="1" customHeight="1" x14ac:dyDescent="0.35">
      <c r="A1353" s="183" t="s">
        <v>397</v>
      </c>
      <c r="B1353" s="183"/>
      <c r="C1353" s="184" t="s">
        <v>746</v>
      </c>
      <c r="D1353" s="168" t="s">
        <v>444</v>
      </c>
      <c r="E1353" s="330" t="s">
        <v>369</v>
      </c>
      <c r="F1353" s="99"/>
      <c r="G1353" s="185">
        <v>218.5</v>
      </c>
      <c r="H1353" s="185">
        <f t="shared" si="24"/>
        <v>221.25</v>
      </c>
      <c r="I1353" s="187"/>
      <c r="J1353" s="99" t="s">
        <v>449</v>
      </c>
      <c r="K1353" s="107">
        <v>44926</v>
      </c>
      <c r="L1353" s="169" t="s">
        <v>1269</v>
      </c>
      <c r="M1353" s="99" t="s">
        <v>20</v>
      </c>
      <c r="N1353" s="217" t="s">
        <v>443</v>
      </c>
    </row>
    <row r="1354" spans="1:14" ht="15.65" hidden="1" customHeight="1" x14ac:dyDescent="0.35">
      <c r="A1354" s="183" t="s">
        <v>397</v>
      </c>
      <c r="B1354" s="183"/>
      <c r="C1354" s="184" t="s">
        <v>746</v>
      </c>
      <c r="D1354" s="168" t="s">
        <v>444</v>
      </c>
      <c r="E1354" s="330" t="s">
        <v>369</v>
      </c>
      <c r="F1354" s="99"/>
      <c r="G1354" s="185">
        <v>211.6</v>
      </c>
      <c r="H1354" s="185">
        <f t="shared" si="24"/>
        <v>214.35</v>
      </c>
      <c r="I1354" s="187"/>
      <c r="J1354" s="99" t="s">
        <v>449</v>
      </c>
      <c r="K1354" s="107">
        <v>44926</v>
      </c>
      <c r="L1354" s="169" t="s">
        <v>1269</v>
      </c>
      <c r="M1354" s="99" t="s">
        <v>20</v>
      </c>
      <c r="N1354" s="217" t="s">
        <v>443</v>
      </c>
    </row>
    <row r="1355" spans="1:14" ht="15.65" hidden="1" customHeight="1" x14ac:dyDescent="0.35">
      <c r="A1355" s="443" t="s">
        <v>397</v>
      </c>
      <c r="B1355" s="443"/>
      <c r="C1355" s="463" t="s">
        <v>746</v>
      </c>
      <c r="D1355" s="168" t="s">
        <v>444</v>
      </c>
      <c r="E1355" s="330" t="s">
        <v>369</v>
      </c>
      <c r="F1355" s="89"/>
      <c r="G1355" s="514">
        <v>204.8</v>
      </c>
      <c r="H1355" s="514">
        <f t="shared" si="24"/>
        <v>207.55</v>
      </c>
      <c r="I1355" s="538"/>
      <c r="J1355" s="100" t="s">
        <v>449</v>
      </c>
      <c r="K1355" s="111">
        <v>44926</v>
      </c>
      <c r="L1355" s="309" t="s">
        <v>1269</v>
      </c>
      <c r="M1355" s="100" t="s">
        <v>20</v>
      </c>
      <c r="N1355" s="335" t="s">
        <v>443</v>
      </c>
    </row>
    <row r="1356" spans="1:14" ht="15.65" hidden="1" customHeight="1" x14ac:dyDescent="0.35">
      <c r="A1356" s="183" t="s">
        <v>397</v>
      </c>
      <c r="B1356" s="183"/>
      <c r="C1356" s="184" t="s">
        <v>746</v>
      </c>
      <c r="D1356" s="168" t="s">
        <v>444</v>
      </c>
      <c r="E1356" s="330" t="s">
        <v>369</v>
      </c>
      <c r="F1356" s="99"/>
      <c r="G1356" s="185">
        <v>190.25</v>
      </c>
      <c r="H1356" s="185">
        <f t="shared" si="24"/>
        <v>193</v>
      </c>
      <c r="I1356" s="187"/>
      <c r="J1356" s="99" t="s">
        <v>449</v>
      </c>
      <c r="K1356" s="107">
        <v>44926</v>
      </c>
      <c r="L1356" s="169" t="s">
        <v>1269</v>
      </c>
      <c r="M1356" s="99" t="s">
        <v>20</v>
      </c>
      <c r="N1356" s="217" t="s">
        <v>443</v>
      </c>
    </row>
    <row r="1357" spans="1:14" ht="15.65" hidden="1" customHeight="1" x14ac:dyDescent="0.35">
      <c r="A1357" s="299" t="s">
        <v>397</v>
      </c>
      <c r="B1357" s="299"/>
      <c r="C1357" s="300" t="s">
        <v>746</v>
      </c>
      <c r="D1357" s="168" t="s">
        <v>427</v>
      </c>
      <c r="E1357" s="330" t="s">
        <v>369</v>
      </c>
      <c r="F1357" s="89"/>
      <c r="G1357" s="302">
        <v>240</v>
      </c>
      <c r="H1357" s="302">
        <v>244</v>
      </c>
      <c r="I1357" s="303"/>
      <c r="J1357" s="100" t="s">
        <v>509</v>
      </c>
      <c r="K1357" s="111">
        <v>44742</v>
      </c>
      <c r="L1357" s="309" t="s">
        <v>657</v>
      </c>
      <c r="M1357" s="100" t="s">
        <v>20</v>
      </c>
      <c r="N1357" s="335" t="s">
        <v>443</v>
      </c>
    </row>
    <row r="1358" spans="1:14" s="113" customFormat="1" ht="15.65" hidden="1" customHeight="1" x14ac:dyDescent="0.35">
      <c r="A1358" s="299" t="s">
        <v>397</v>
      </c>
      <c r="B1358" s="299"/>
      <c r="C1358" s="300" t="s">
        <v>746</v>
      </c>
      <c r="D1358" s="168" t="s">
        <v>444</v>
      </c>
      <c r="E1358" s="330" t="s">
        <v>369</v>
      </c>
      <c r="F1358" s="89"/>
      <c r="G1358" s="302">
        <v>240</v>
      </c>
      <c r="H1358" s="302">
        <v>244</v>
      </c>
      <c r="I1358" s="303"/>
      <c r="J1358" s="100" t="s">
        <v>509</v>
      </c>
      <c r="K1358" s="111">
        <v>44804</v>
      </c>
      <c r="L1358" s="309" t="s">
        <v>1270</v>
      </c>
      <c r="M1358" s="100" t="s">
        <v>20</v>
      </c>
      <c r="N1358" s="335" t="s">
        <v>443</v>
      </c>
    </row>
    <row r="1359" spans="1:14" ht="26.5" hidden="1" customHeight="1" x14ac:dyDescent="0.35">
      <c r="A1359" s="183" t="s">
        <v>397</v>
      </c>
      <c r="B1359" s="183"/>
      <c r="C1359" s="184" t="s">
        <v>746</v>
      </c>
      <c r="D1359" s="168" t="s">
        <v>444</v>
      </c>
      <c r="E1359" s="330" t="s">
        <v>369</v>
      </c>
      <c r="F1359" s="99"/>
      <c r="G1359" s="185">
        <v>221</v>
      </c>
      <c r="H1359" s="185">
        <v>225</v>
      </c>
      <c r="I1359" s="187"/>
      <c r="J1359" s="99" t="s">
        <v>437</v>
      </c>
      <c r="K1359" s="107">
        <v>44926</v>
      </c>
      <c r="L1359" s="169" t="s">
        <v>1271</v>
      </c>
      <c r="M1359" s="99" t="s">
        <v>20</v>
      </c>
      <c r="N1359" s="217" t="s">
        <v>439</v>
      </c>
    </row>
    <row r="1360" spans="1:14" ht="15.65" hidden="1" customHeight="1" x14ac:dyDescent="0.35">
      <c r="A1360" s="183" t="s">
        <v>45</v>
      </c>
      <c r="B1360" s="183"/>
      <c r="C1360" s="184" t="s">
        <v>750</v>
      </c>
      <c r="D1360" s="168" t="s">
        <v>444</v>
      </c>
      <c r="E1360" s="337" t="s">
        <v>369</v>
      </c>
      <c r="F1360" s="99"/>
      <c r="G1360" s="185">
        <v>30.75</v>
      </c>
      <c r="H1360" s="185">
        <f t="shared" ref="H1360:H1370" si="25">G1360+2.75</f>
        <v>33.5</v>
      </c>
      <c r="I1360" s="187"/>
      <c r="J1360" s="99" t="s">
        <v>428</v>
      </c>
      <c r="K1360" s="107">
        <v>44926</v>
      </c>
      <c r="L1360" s="99"/>
      <c r="M1360" s="99"/>
      <c r="N1360" s="99" t="s">
        <v>418</v>
      </c>
    </row>
    <row r="1361" spans="1:46" ht="15.65" hidden="1" customHeight="1" x14ac:dyDescent="0.35">
      <c r="A1361" s="183" t="s">
        <v>751</v>
      </c>
      <c r="B1361" s="183"/>
      <c r="C1361" s="184" t="s">
        <v>752</v>
      </c>
      <c r="D1361" s="168" t="s">
        <v>444</v>
      </c>
      <c r="E1361" s="337" t="s">
        <v>369</v>
      </c>
      <c r="F1361" s="99"/>
      <c r="G1361" s="185">
        <v>75.650000000000006</v>
      </c>
      <c r="H1361" s="185">
        <f t="shared" si="25"/>
        <v>78.400000000000006</v>
      </c>
      <c r="I1361" s="187"/>
      <c r="J1361" s="99" t="s">
        <v>428</v>
      </c>
      <c r="K1361" s="107">
        <v>44926</v>
      </c>
      <c r="L1361" s="99"/>
      <c r="M1361" s="99"/>
      <c r="N1361" s="99" t="s">
        <v>418</v>
      </c>
    </row>
    <row r="1362" spans="1:46" ht="15.65" hidden="1" customHeight="1" x14ac:dyDescent="0.35">
      <c r="A1362" s="183" t="s">
        <v>342</v>
      </c>
      <c r="B1362" s="183"/>
      <c r="C1362" s="184" t="s">
        <v>753</v>
      </c>
      <c r="D1362" s="168" t="s">
        <v>427</v>
      </c>
      <c r="E1362" s="330" t="s">
        <v>369</v>
      </c>
      <c r="F1362" s="99"/>
      <c r="G1362" s="185">
        <v>24.21</v>
      </c>
      <c r="H1362" s="185">
        <f t="shared" si="25"/>
        <v>26.96</v>
      </c>
      <c r="I1362" s="187"/>
      <c r="J1362" s="99" t="s">
        <v>437</v>
      </c>
      <c r="K1362" s="107">
        <v>44561</v>
      </c>
      <c r="L1362" s="99"/>
      <c r="M1362" s="99" t="s">
        <v>20</v>
      </c>
      <c r="N1362" s="99" t="s">
        <v>457</v>
      </c>
    </row>
    <row r="1363" spans="1:46" ht="15.65" hidden="1" customHeight="1" x14ac:dyDescent="0.35">
      <c r="A1363" s="183" t="s">
        <v>342</v>
      </c>
      <c r="B1363" s="183"/>
      <c r="C1363" s="184" t="s">
        <v>1272</v>
      </c>
      <c r="D1363" s="168" t="s">
        <v>427</v>
      </c>
      <c r="E1363" s="330" t="s">
        <v>369</v>
      </c>
      <c r="F1363" s="99"/>
      <c r="G1363" s="185">
        <v>48.5</v>
      </c>
      <c r="H1363" s="185">
        <f t="shared" si="25"/>
        <v>51.25</v>
      </c>
      <c r="I1363" s="187"/>
      <c r="J1363" s="99" t="s">
        <v>428</v>
      </c>
      <c r="K1363" s="107">
        <v>44196</v>
      </c>
      <c r="L1363" s="99"/>
      <c r="M1363" s="99" t="s">
        <v>20</v>
      </c>
      <c r="N1363" s="99" t="s">
        <v>429</v>
      </c>
    </row>
    <row r="1364" spans="1:46" ht="15.65" hidden="1" customHeight="1" x14ac:dyDescent="0.35">
      <c r="A1364" s="183" t="s">
        <v>342</v>
      </c>
      <c r="B1364" s="183"/>
      <c r="C1364" s="184" t="s">
        <v>753</v>
      </c>
      <c r="D1364" s="168" t="s">
        <v>427</v>
      </c>
      <c r="E1364" s="330" t="s">
        <v>369</v>
      </c>
      <c r="F1364" s="99"/>
      <c r="G1364" s="185">
        <v>37.520000000000003</v>
      </c>
      <c r="H1364" s="185">
        <f t="shared" si="25"/>
        <v>40.270000000000003</v>
      </c>
      <c r="I1364" s="187"/>
      <c r="J1364" s="99" t="s">
        <v>432</v>
      </c>
      <c r="K1364" s="107">
        <v>44561</v>
      </c>
      <c r="L1364" s="169" t="s">
        <v>464</v>
      </c>
      <c r="M1364" s="99" t="s">
        <v>20</v>
      </c>
      <c r="N1364" s="99" t="s">
        <v>443</v>
      </c>
    </row>
    <row r="1365" spans="1:46" ht="15.65" hidden="1" customHeight="1" x14ac:dyDescent="0.35">
      <c r="A1365" s="183" t="s">
        <v>342</v>
      </c>
      <c r="B1365" s="183"/>
      <c r="C1365" s="184" t="s">
        <v>753</v>
      </c>
      <c r="D1365" s="168" t="s">
        <v>465</v>
      </c>
      <c r="E1365" s="337" t="s">
        <v>369</v>
      </c>
      <c r="F1365" s="99"/>
      <c r="G1365" s="185">
        <v>24.21</v>
      </c>
      <c r="H1365" s="185">
        <f t="shared" si="25"/>
        <v>26.96</v>
      </c>
      <c r="I1365" s="187"/>
      <c r="J1365" s="99" t="s">
        <v>437</v>
      </c>
      <c r="K1365" s="107">
        <v>44926</v>
      </c>
      <c r="L1365" s="169" t="s">
        <v>1203</v>
      </c>
      <c r="M1365" s="99" t="s">
        <v>20</v>
      </c>
      <c r="N1365" s="99" t="s">
        <v>443</v>
      </c>
    </row>
    <row r="1366" spans="1:46" s="113" customFormat="1" ht="15.65" hidden="1" customHeight="1" x14ac:dyDescent="0.35">
      <c r="A1366" s="183" t="s">
        <v>342</v>
      </c>
      <c r="B1366" s="183"/>
      <c r="C1366" s="184" t="s">
        <v>753</v>
      </c>
      <c r="D1366" s="168" t="s">
        <v>444</v>
      </c>
      <c r="E1366" s="337" t="s">
        <v>369</v>
      </c>
      <c r="F1366" s="99"/>
      <c r="G1366" s="185">
        <v>37.520000000000003</v>
      </c>
      <c r="H1366" s="185">
        <f t="shared" si="25"/>
        <v>40.270000000000003</v>
      </c>
      <c r="I1366" s="187"/>
      <c r="J1366" s="99" t="s">
        <v>432</v>
      </c>
      <c r="K1366" s="107">
        <v>44926</v>
      </c>
      <c r="L1366" s="169"/>
      <c r="M1366" s="99" t="s">
        <v>20</v>
      </c>
      <c r="N1366" s="89" t="s">
        <v>458</v>
      </c>
    </row>
    <row r="1367" spans="1:46" s="119" customFormat="1" ht="15.65" hidden="1" customHeight="1" x14ac:dyDescent="0.35">
      <c r="A1367" s="183" t="s">
        <v>342</v>
      </c>
      <c r="B1367" s="183"/>
      <c r="C1367" s="184" t="s">
        <v>1272</v>
      </c>
      <c r="D1367" s="168" t="s">
        <v>444</v>
      </c>
      <c r="E1367" s="337" t="s">
        <v>369</v>
      </c>
      <c r="F1367" s="99"/>
      <c r="G1367" s="185">
        <v>48.5</v>
      </c>
      <c r="H1367" s="185">
        <f t="shared" si="25"/>
        <v>51.25</v>
      </c>
      <c r="I1367" s="187"/>
      <c r="J1367" s="99" t="s">
        <v>428</v>
      </c>
      <c r="K1367" s="107">
        <v>44926</v>
      </c>
      <c r="L1367" s="99"/>
      <c r="M1367" s="99" t="s">
        <v>20</v>
      </c>
      <c r="N1367" s="99" t="s">
        <v>418</v>
      </c>
      <c r="O1367" s="71"/>
      <c r="P1367" s="71"/>
      <c r="Q1367" s="71"/>
      <c r="R1367" s="71"/>
      <c r="S1367" s="71"/>
      <c r="T1367" s="71"/>
      <c r="U1367" s="71"/>
      <c r="V1367" s="71"/>
      <c r="W1367" s="71"/>
      <c r="X1367" s="71"/>
      <c r="Y1367" s="71"/>
      <c r="Z1367" s="71"/>
      <c r="AA1367" s="71"/>
      <c r="AB1367" s="71"/>
      <c r="AC1367" s="71"/>
      <c r="AD1367" s="71"/>
      <c r="AE1367" s="71"/>
      <c r="AF1367" s="71"/>
      <c r="AG1367" s="71"/>
      <c r="AH1367" s="71"/>
      <c r="AI1367" s="71"/>
      <c r="AJ1367" s="71"/>
      <c r="AK1367" s="71"/>
      <c r="AL1367" s="71"/>
      <c r="AM1367" s="71"/>
      <c r="AN1367" s="71"/>
      <c r="AO1367" s="71"/>
      <c r="AP1367" s="71"/>
      <c r="AQ1367" s="71"/>
      <c r="AR1367" s="71"/>
      <c r="AS1367" s="71"/>
      <c r="AT1367" s="71"/>
    </row>
    <row r="1368" spans="1:46" ht="15.65" hidden="1" customHeight="1" x14ac:dyDescent="0.35">
      <c r="A1368" s="183" t="s">
        <v>345</v>
      </c>
      <c r="B1368" s="183"/>
      <c r="C1368" s="184" t="s">
        <v>1029</v>
      </c>
      <c r="D1368" s="168" t="s">
        <v>427</v>
      </c>
      <c r="E1368" s="330" t="s">
        <v>369</v>
      </c>
      <c r="F1368" s="99"/>
      <c r="G1368" s="185">
        <v>58.2</v>
      </c>
      <c r="H1368" s="185">
        <f t="shared" si="25"/>
        <v>60.95</v>
      </c>
      <c r="I1368" s="187"/>
      <c r="J1368" s="99" t="s">
        <v>428</v>
      </c>
      <c r="K1368" s="107">
        <v>44196</v>
      </c>
      <c r="L1368" s="99"/>
      <c r="M1368" s="99" t="s">
        <v>20</v>
      </c>
      <c r="N1368" s="99" t="s">
        <v>429</v>
      </c>
    </row>
    <row r="1369" spans="1:46" ht="15.65" hidden="1" customHeight="1" x14ac:dyDescent="0.35">
      <c r="A1369" s="183" t="s">
        <v>345</v>
      </c>
      <c r="B1369" s="183"/>
      <c r="C1369" s="184" t="s">
        <v>1029</v>
      </c>
      <c r="D1369" s="168" t="s">
        <v>427</v>
      </c>
      <c r="E1369" s="330" t="s">
        <v>369</v>
      </c>
      <c r="F1369" s="99"/>
      <c r="G1369" s="185">
        <v>60</v>
      </c>
      <c r="H1369" s="185">
        <f t="shared" si="25"/>
        <v>62.75</v>
      </c>
      <c r="I1369" s="187"/>
      <c r="J1369" s="99" t="s">
        <v>509</v>
      </c>
      <c r="K1369" s="107">
        <v>44561</v>
      </c>
      <c r="L1369" s="99"/>
      <c r="M1369" s="99" t="s">
        <v>20</v>
      </c>
      <c r="N1369" s="99" t="s">
        <v>457</v>
      </c>
    </row>
    <row r="1370" spans="1:46" ht="15.65" hidden="1" customHeight="1" x14ac:dyDescent="0.35">
      <c r="A1370" s="183" t="s">
        <v>345</v>
      </c>
      <c r="B1370" s="183"/>
      <c r="C1370" s="184" t="s">
        <v>1029</v>
      </c>
      <c r="D1370" s="168" t="s">
        <v>427</v>
      </c>
      <c r="E1370" s="337" t="s">
        <v>369</v>
      </c>
      <c r="F1370" s="99"/>
      <c r="G1370" s="185">
        <v>60</v>
      </c>
      <c r="H1370" s="185">
        <f t="shared" si="25"/>
        <v>62.75</v>
      </c>
      <c r="I1370" s="187"/>
      <c r="J1370" s="99" t="s">
        <v>509</v>
      </c>
      <c r="K1370" s="107">
        <v>44681</v>
      </c>
      <c r="L1370" s="169" t="s">
        <v>1273</v>
      </c>
      <c r="M1370" s="99" t="s">
        <v>20</v>
      </c>
      <c r="N1370" s="99" t="s">
        <v>443</v>
      </c>
    </row>
    <row r="1371" spans="1:46" ht="15.65" hidden="1" customHeight="1" x14ac:dyDescent="0.35">
      <c r="A1371" s="183" t="s">
        <v>345</v>
      </c>
      <c r="B1371" s="183"/>
      <c r="C1371" s="184" t="s">
        <v>1029</v>
      </c>
      <c r="D1371" s="168" t="s">
        <v>427</v>
      </c>
      <c r="E1371" s="337" t="s">
        <v>369</v>
      </c>
      <c r="F1371" s="99"/>
      <c r="G1371" s="185">
        <v>60</v>
      </c>
      <c r="H1371" s="185">
        <v>64</v>
      </c>
      <c r="I1371" s="187"/>
      <c r="J1371" s="99" t="s">
        <v>509</v>
      </c>
      <c r="K1371" s="107">
        <v>44742</v>
      </c>
      <c r="L1371" s="169" t="s">
        <v>1274</v>
      </c>
      <c r="M1371" s="99" t="s">
        <v>20</v>
      </c>
      <c r="N1371" s="99" t="s">
        <v>443</v>
      </c>
    </row>
    <row r="1372" spans="1:46" ht="15.65" hidden="1" customHeight="1" x14ac:dyDescent="0.35">
      <c r="A1372" s="183" t="s">
        <v>345</v>
      </c>
      <c r="B1372" s="183"/>
      <c r="C1372" s="184" t="s">
        <v>1029</v>
      </c>
      <c r="D1372" s="168" t="s">
        <v>465</v>
      </c>
      <c r="E1372" s="337" t="s">
        <v>369</v>
      </c>
      <c r="F1372" s="99"/>
      <c r="G1372" s="185">
        <v>60</v>
      </c>
      <c r="H1372" s="185">
        <v>62.75</v>
      </c>
      <c r="I1372" s="187"/>
      <c r="J1372" s="99" t="s">
        <v>509</v>
      </c>
      <c r="K1372" s="107" t="s">
        <v>650</v>
      </c>
      <c r="L1372" s="169" t="s">
        <v>1275</v>
      </c>
      <c r="M1372" s="99" t="s">
        <v>20</v>
      </c>
      <c r="N1372" s="99" t="s">
        <v>443</v>
      </c>
    </row>
    <row r="1373" spans="1:46" ht="15.65" hidden="1" customHeight="1" x14ac:dyDescent="0.35">
      <c r="A1373" s="183" t="s">
        <v>759</v>
      </c>
      <c r="B1373" s="183"/>
      <c r="C1373" s="184" t="s">
        <v>760</v>
      </c>
      <c r="D1373" s="168" t="s">
        <v>444</v>
      </c>
      <c r="E1373" s="337" t="s">
        <v>369</v>
      </c>
      <c r="F1373" s="99"/>
      <c r="G1373" s="185">
        <v>23.6</v>
      </c>
      <c r="H1373" s="185">
        <f>G1373+2.75</f>
        <v>26.35</v>
      </c>
      <c r="I1373" s="187"/>
      <c r="J1373" s="99" t="s">
        <v>428</v>
      </c>
      <c r="K1373" s="107">
        <v>44926</v>
      </c>
      <c r="L1373" s="99"/>
      <c r="M1373" s="99"/>
      <c r="N1373" s="99" t="s">
        <v>418</v>
      </c>
    </row>
    <row r="1374" spans="1:46" ht="15.65" hidden="1" customHeight="1" x14ac:dyDescent="0.35">
      <c r="A1374" s="183" t="s">
        <v>353</v>
      </c>
      <c r="B1374" s="183"/>
      <c r="C1374" s="184" t="s">
        <v>1030</v>
      </c>
      <c r="D1374" s="168" t="s">
        <v>427</v>
      </c>
      <c r="E1374" s="337" t="s">
        <v>369</v>
      </c>
      <c r="F1374" s="99"/>
      <c r="G1374" s="185">
        <v>68.349999999999994</v>
      </c>
      <c r="H1374" s="185">
        <f>G1374+2.75</f>
        <v>71.099999999999994</v>
      </c>
      <c r="I1374" s="187"/>
      <c r="J1374" s="99"/>
      <c r="K1374" s="107">
        <v>44196</v>
      </c>
      <c r="L1374" s="99"/>
      <c r="M1374" s="99" t="s">
        <v>20</v>
      </c>
      <c r="N1374" s="99" t="s">
        <v>427</v>
      </c>
    </row>
    <row r="1375" spans="1:46" ht="15.65" hidden="1" customHeight="1" x14ac:dyDescent="0.35">
      <c r="A1375" s="183" t="s">
        <v>353</v>
      </c>
      <c r="B1375" s="183"/>
      <c r="C1375" s="184" t="s">
        <v>1030</v>
      </c>
      <c r="D1375" s="168" t="s">
        <v>427</v>
      </c>
      <c r="E1375" s="337" t="s">
        <v>369</v>
      </c>
      <c r="F1375" s="99"/>
      <c r="G1375" s="185">
        <v>82.7</v>
      </c>
      <c r="H1375" s="185">
        <f>G1375+2.75</f>
        <v>85.45</v>
      </c>
      <c r="I1375" s="187"/>
      <c r="J1375" s="99" t="s">
        <v>509</v>
      </c>
      <c r="K1375" s="107">
        <v>44561</v>
      </c>
      <c r="L1375" s="169" t="s">
        <v>1265</v>
      </c>
      <c r="M1375" s="99" t="s">
        <v>20</v>
      </c>
      <c r="N1375" s="99" t="s">
        <v>427</v>
      </c>
    </row>
    <row r="1376" spans="1:46" ht="15.65" hidden="1" customHeight="1" x14ac:dyDescent="0.35">
      <c r="A1376" s="183" t="s">
        <v>353</v>
      </c>
      <c r="B1376" s="183"/>
      <c r="C1376" s="184" t="s">
        <v>1030</v>
      </c>
      <c r="D1376" s="168" t="s">
        <v>427</v>
      </c>
      <c r="E1376" s="337" t="s">
        <v>369</v>
      </c>
      <c r="F1376" s="99"/>
      <c r="G1376" s="185">
        <v>82.75</v>
      </c>
      <c r="H1376" s="117">
        <v>85.5</v>
      </c>
      <c r="I1376" s="190"/>
      <c r="J1376" s="107" t="s">
        <v>428</v>
      </c>
      <c r="K1376" s="107">
        <v>44561</v>
      </c>
      <c r="L1376" s="99"/>
      <c r="M1376" s="99" t="s">
        <v>20</v>
      </c>
      <c r="N1376" s="99" t="s">
        <v>457</v>
      </c>
    </row>
    <row r="1377" spans="1:16" ht="15.65" hidden="1" customHeight="1" x14ac:dyDescent="0.35">
      <c r="A1377" s="183" t="s">
        <v>353</v>
      </c>
      <c r="B1377" s="183"/>
      <c r="C1377" s="184" t="s">
        <v>1030</v>
      </c>
      <c r="D1377" s="168" t="s">
        <v>427</v>
      </c>
      <c r="E1377" s="337" t="s">
        <v>369</v>
      </c>
      <c r="F1377" s="99"/>
      <c r="G1377" s="185">
        <v>74.2</v>
      </c>
      <c r="H1377" s="185">
        <f>G1377+2.75</f>
        <v>76.95</v>
      </c>
      <c r="I1377" s="187"/>
      <c r="J1377" s="99" t="s">
        <v>509</v>
      </c>
      <c r="K1377" s="107">
        <v>44561</v>
      </c>
      <c r="L1377" s="169" t="s">
        <v>1276</v>
      </c>
      <c r="M1377" s="99" t="s">
        <v>20</v>
      </c>
      <c r="N1377" s="99" t="s">
        <v>457</v>
      </c>
    </row>
    <row r="1378" spans="1:16" ht="15.65" hidden="1" customHeight="1" x14ac:dyDescent="0.35">
      <c r="A1378" s="183" t="s">
        <v>353</v>
      </c>
      <c r="B1378" s="183"/>
      <c r="C1378" s="184" t="s">
        <v>1030</v>
      </c>
      <c r="D1378" s="168" t="s">
        <v>427</v>
      </c>
      <c r="E1378" s="337" t="s">
        <v>369</v>
      </c>
      <c r="F1378" s="99"/>
      <c r="G1378" s="185">
        <v>74.2</v>
      </c>
      <c r="H1378" s="185">
        <f>G1378+2.75</f>
        <v>76.95</v>
      </c>
      <c r="I1378" s="187"/>
      <c r="J1378" s="99" t="s">
        <v>509</v>
      </c>
      <c r="K1378" s="107">
        <v>44681</v>
      </c>
      <c r="L1378" s="169" t="s">
        <v>1273</v>
      </c>
      <c r="M1378" s="99" t="s">
        <v>20</v>
      </c>
      <c r="N1378" s="99" t="s">
        <v>443</v>
      </c>
    </row>
    <row r="1379" spans="1:16" ht="15.65" hidden="1" customHeight="1" x14ac:dyDescent="0.35">
      <c r="A1379" s="183" t="s">
        <v>353</v>
      </c>
      <c r="B1379" s="183"/>
      <c r="C1379" s="184" t="s">
        <v>1030</v>
      </c>
      <c r="D1379" s="168" t="s">
        <v>444</v>
      </c>
      <c r="E1379" s="337" t="s">
        <v>369</v>
      </c>
      <c r="F1379" s="99"/>
      <c r="G1379" s="185">
        <v>82.75</v>
      </c>
      <c r="H1379" s="117">
        <v>85.5</v>
      </c>
      <c r="I1379" s="190"/>
      <c r="J1379" s="107" t="s">
        <v>428</v>
      </c>
      <c r="K1379" s="107">
        <v>44926</v>
      </c>
      <c r="L1379" s="99"/>
      <c r="M1379" s="99" t="s">
        <v>20</v>
      </c>
      <c r="N1379" s="99" t="s">
        <v>418</v>
      </c>
    </row>
    <row r="1380" spans="1:16" ht="15.65" hidden="1" customHeight="1" x14ac:dyDescent="0.35">
      <c r="A1380" s="183" t="s">
        <v>353</v>
      </c>
      <c r="B1380" s="183"/>
      <c r="C1380" s="184" t="s">
        <v>1030</v>
      </c>
      <c r="D1380" s="168" t="s">
        <v>465</v>
      </c>
      <c r="E1380" s="337" t="s">
        <v>369</v>
      </c>
      <c r="F1380" s="99"/>
      <c r="G1380" s="185">
        <v>79.2</v>
      </c>
      <c r="H1380" s="185">
        <v>83.2</v>
      </c>
      <c r="I1380" s="187"/>
      <c r="J1380" s="99" t="s">
        <v>509</v>
      </c>
      <c r="K1380" s="107">
        <v>44804</v>
      </c>
      <c r="L1380" s="169" t="s">
        <v>1277</v>
      </c>
      <c r="M1380" s="99" t="s">
        <v>20</v>
      </c>
      <c r="N1380" s="99" t="s">
        <v>443</v>
      </c>
    </row>
    <row r="1381" spans="1:16" ht="15.65" hidden="1" customHeight="1" x14ac:dyDescent="0.35">
      <c r="A1381" s="183" t="s">
        <v>770</v>
      </c>
      <c r="B1381" s="183"/>
      <c r="C1381" s="184" t="s">
        <v>771</v>
      </c>
      <c r="D1381" s="168" t="s">
        <v>427</v>
      </c>
      <c r="E1381" s="330" t="s">
        <v>369</v>
      </c>
      <c r="F1381" s="99"/>
      <c r="G1381" s="185">
        <v>43</v>
      </c>
      <c r="H1381" s="185">
        <f t="shared" ref="H1381:H1388" si="26">G1381+2.75</f>
        <v>45.75</v>
      </c>
      <c r="I1381" s="187"/>
      <c r="J1381" s="99" t="s">
        <v>428</v>
      </c>
      <c r="K1381" s="107">
        <v>44561</v>
      </c>
      <c r="L1381" s="99"/>
      <c r="M1381" s="99" t="s">
        <v>20</v>
      </c>
      <c r="N1381" s="99" t="s">
        <v>457</v>
      </c>
    </row>
    <row r="1382" spans="1:16" ht="20.25" hidden="1" customHeight="1" x14ac:dyDescent="0.35">
      <c r="A1382" s="183" t="s">
        <v>770</v>
      </c>
      <c r="B1382" s="183"/>
      <c r="C1382" s="184" t="s">
        <v>771</v>
      </c>
      <c r="D1382" s="168" t="s">
        <v>444</v>
      </c>
      <c r="E1382" s="330" t="s">
        <v>369</v>
      </c>
      <c r="F1382" s="99"/>
      <c r="G1382" s="185">
        <v>25.75</v>
      </c>
      <c r="H1382" s="185">
        <f t="shared" si="26"/>
        <v>28.5</v>
      </c>
      <c r="I1382" s="187"/>
      <c r="J1382" s="99" t="s">
        <v>432</v>
      </c>
      <c r="K1382" s="107">
        <v>44651</v>
      </c>
      <c r="L1382" s="169" t="s">
        <v>464</v>
      </c>
      <c r="M1382" s="99" t="s">
        <v>20</v>
      </c>
      <c r="N1382" s="99" t="s">
        <v>443</v>
      </c>
    </row>
    <row r="1383" spans="1:16" ht="15.65" hidden="1" customHeight="1" x14ac:dyDescent="0.35">
      <c r="A1383" s="183" t="s">
        <v>770</v>
      </c>
      <c r="B1383" s="183"/>
      <c r="C1383" s="184" t="s">
        <v>771</v>
      </c>
      <c r="D1383" s="168" t="s">
        <v>444</v>
      </c>
      <c r="E1383" s="330" t="s">
        <v>369</v>
      </c>
      <c r="F1383" s="89"/>
      <c r="G1383" s="185">
        <v>43</v>
      </c>
      <c r="H1383" s="185">
        <f t="shared" si="26"/>
        <v>45.75</v>
      </c>
      <c r="I1383" s="187"/>
      <c r="J1383" s="99" t="s">
        <v>428</v>
      </c>
      <c r="K1383" s="107">
        <v>44926</v>
      </c>
      <c r="L1383" s="99"/>
      <c r="M1383" s="99" t="s">
        <v>20</v>
      </c>
      <c r="N1383" s="99" t="s">
        <v>418</v>
      </c>
    </row>
    <row r="1384" spans="1:16" ht="15.65" hidden="1" customHeight="1" x14ac:dyDescent="0.35">
      <c r="A1384" s="183" t="s">
        <v>775</v>
      </c>
      <c r="B1384" s="183"/>
      <c r="C1384" s="184" t="s">
        <v>776</v>
      </c>
      <c r="D1384" s="168" t="s">
        <v>427</v>
      </c>
      <c r="E1384" s="330" t="s">
        <v>369</v>
      </c>
      <c r="F1384" s="89"/>
      <c r="G1384" s="185">
        <v>35.15</v>
      </c>
      <c r="H1384" s="185">
        <f t="shared" si="26"/>
        <v>37.9</v>
      </c>
      <c r="I1384" s="187"/>
      <c r="J1384" s="99" t="s">
        <v>428</v>
      </c>
      <c r="K1384" s="107">
        <v>44561</v>
      </c>
      <c r="L1384" s="99"/>
      <c r="M1384" s="99" t="s">
        <v>20</v>
      </c>
      <c r="N1384" s="99" t="s">
        <v>457</v>
      </c>
    </row>
    <row r="1385" spans="1:16" ht="15.65" hidden="1" customHeight="1" x14ac:dyDescent="0.35">
      <c r="A1385" s="183" t="s">
        <v>775</v>
      </c>
      <c r="B1385" s="183"/>
      <c r="C1385" s="184" t="s">
        <v>776</v>
      </c>
      <c r="D1385" s="168" t="s">
        <v>427</v>
      </c>
      <c r="E1385" s="330" t="s">
        <v>369</v>
      </c>
      <c r="F1385" s="89"/>
      <c r="G1385" s="185">
        <v>32.520000000000003</v>
      </c>
      <c r="H1385" s="185">
        <f t="shared" si="26"/>
        <v>35.270000000000003</v>
      </c>
      <c r="I1385" s="187"/>
      <c r="J1385" s="99" t="s">
        <v>432</v>
      </c>
      <c r="K1385" s="107">
        <v>44561</v>
      </c>
      <c r="L1385" s="169" t="s">
        <v>464</v>
      </c>
      <c r="M1385" s="99" t="s">
        <v>624</v>
      </c>
      <c r="N1385" s="99" t="s">
        <v>443</v>
      </c>
    </row>
    <row r="1386" spans="1:16" ht="15.65" hidden="1" customHeight="1" x14ac:dyDescent="0.35">
      <c r="A1386" s="299" t="s">
        <v>775</v>
      </c>
      <c r="B1386" s="299"/>
      <c r="C1386" s="300" t="s">
        <v>776</v>
      </c>
      <c r="D1386" s="168" t="s">
        <v>465</v>
      </c>
      <c r="E1386" s="330" t="s">
        <v>369</v>
      </c>
      <c r="F1386" s="99"/>
      <c r="G1386" s="302">
        <v>32.520000000000003</v>
      </c>
      <c r="H1386" s="302">
        <f t="shared" si="26"/>
        <v>35.270000000000003</v>
      </c>
      <c r="I1386" s="303"/>
      <c r="J1386" s="100" t="s">
        <v>432</v>
      </c>
      <c r="K1386" s="111">
        <v>44926</v>
      </c>
      <c r="L1386" s="309" t="s">
        <v>724</v>
      </c>
      <c r="M1386" s="100" t="s">
        <v>624</v>
      </c>
      <c r="N1386" s="100" t="s">
        <v>443</v>
      </c>
    </row>
    <row r="1387" spans="1:16" ht="12" hidden="1" customHeight="1" x14ac:dyDescent="0.35">
      <c r="A1387" s="183" t="s">
        <v>775</v>
      </c>
      <c r="B1387" s="183"/>
      <c r="C1387" s="184" t="s">
        <v>776</v>
      </c>
      <c r="D1387" s="168" t="s">
        <v>444</v>
      </c>
      <c r="E1387" s="330" t="s">
        <v>369</v>
      </c>
      <c r="F1387" s="89"/>
      <c r="G1387" s="185">
        <v>36.03</v>
      </c>
      <c r="H1387" s="185">
        <f t="shared" si="26"/>
        <v>38.78</v>
      </c>
      <c r="I1387" s="187"/>
      <c r="J1387" s="99" t="s">
        <v>428</v>
      </c>
      <c r="K1387" s="107">
        <v>44926</v>
      </c>
      <c r="L1387" s="99"/>
      <c r="M1387" s="99" t="s">
        <v>20</v>
      </c>
      <c r="N1387" s="99" t="s">
        <v>418</v>
      </c>
      <c r="O1387" s="132" t="s">
        <v>1452</v>
      </c>
      <c r="P1387" s="648" t="s">
        <v>1453</v>
      </c>
    </row>
    <row r="1388" spans="1:16" ht="15.65" hidden="1" customHeight="1" x14ac:dyDescent="0.35">
      <c r="A1388" s="183" t="s">
        <v>1278</v>
      </c>
      <c r="B1388" s="183"/>
      <c r="C1388" s="184" t="s">
        <v>1130</v>
      </c>
      <c r="D1388" s="168" t="s">
        <v>427</v>
      </c>
      <c r="E1388" s="330" t="s">
        <v>369</v>
      </c>
      <c r="F1388" s="89"/>
      <c r="G1388" s="185">
        <v>36.5</v>
      </c>
      <c r="H1388" s="185">
        <f t="shared" si="26"/>
        <v>39.25</v>
      </c>
      <c r="I1388" s="187"/>
      <c r="J1388" s="99" t="s">
        <v>509</v>
      </c>
      <c r="K1388" s="107">
        <v>44196</v>
      </c>
      <c r="L1388" s="99" t="s">
        <v>494</v>
      </c>
      <c r="M1388" s="99" t="s">
        <v>104</v>
      </c>
      <c r="N1388" s="99" t="s">
        <v>429</v>
      </c>
      <c r="O1388" s="132" t="s">
        <v>1454</v>
      </c>
      <c r="P1388" s="648"/>
    </row>
    <row r="1389" spans="1:16" ht="23.25" hidden="1" customHeight="1" x14ac:dyDescent="0.35">
      <c r="A1389" s="183" t="s">
        <v>1278</v>
      </c>
      <c r="B1389" s="183"/>
      <c r="C1389" s="184" t="s">
        <v>1130</v>
      </c>
      <c r="D1389" s="168" t="s">
        <v>427</v>
      </c>
      <c r="E1389" s="330" t="s">
        <v>369</v>
      </c>
      <c r="F1389" s="89"/>
      <c r="G1389" s="185">
        <v>36.5</v>
      </c>
      <c r="H1389" s="185">
        <v>39.25</v>
      </c>
      <c r="I1389" s="187"/>
      <c r="J1389" s="99" t="s">
        <v>432</v>
      </c>
      <c r="K1389" s="107">
        <v>44196</v>
      </c>
      <c r="L1389" s="99" t="s">
        <v>494</v>
      </c>
      <c r="M1389" s="99" t="s">
        <v>20</v>
      </c>
      <c r="N1389" s="182" t="s">
        <v>429</v>
      </c>
    </row>
    <row r="1390" spans="1:16" ht="15.65" hidden="1" customHeight="1" x14ac:dyDescent="0.35">
      <c r="A1390" s="183" t="s">
        <v>1278</v>
      </c>
      <c r="B1390" s="183"/>
      <c r="C1390" s="184" t="s">
        <v>1130</v>
      </c>
      <c r="D1390" s="168" t="s">
        <v>465</v>
      </c>
      <c r="E1390" s="330" t="s">
        <v>369</v>
      </c>
      <c r="F1390" s="99"/>
      <c r="G1390" s="185">
        <v>36.5</v>
      </c>
      <c r="H1390" s="185">
        <f>G1390+2.75</f>
        <v>39.25</v>
      </c>
      <c r="I1390" s="187"/>
      <c r="J1390" s="99" t="s">
        <v>509</v>
      </c>
      <c r="K1390" s="107">
        <v>44926</v>
      </c>
      <c r="L1390" s="99"/>
      <c r="M1390" s="89"/>
      <c r="N1390" s="99" t="s">
        <v>418</v>
      </c>
    </row>
    <row r="1391" spans="1:16" ht="15.65" hidden="1" customHeight="1" x14ac:dyDescent="0.35">
      <c r="A1391" s="443" t="s">
        <v>1278</v>
      </c>
      <c r="B1391" s="443"/>
      <c r="C1391" s="463" t="s">
        <v>1130</v>
      </c>
      <c r="D1391" s="168" t="s">
        <v>465</v>
      </c>
      <c r="E1391" s="330" t="s">
        <v>369</v>
      </c>
      <c r="F1391" s="89"/>
      <c r="G1391" s="302">
        <v>36.5</v>
      </c>
      <c r="H1391" s="302">
        <v>39.25</v>
      </c>
      <c r="I1391" s="303"/>
      <c r="J1391" s="100" t="s">
        <v>432</v>
      </c>
      <c r="K1391" s="111">
        <v>44926</v>
      </c>
      <c r="L1391" s="100"/>
      <c r="M1391" s="89"/>
      <c r="N1391" s="239" t="s">
        <v>418</v>
      </c>
    </row>
    <row r="1392" spans="1:16" ht="15.65" hidden="1" customHeight="1" x14ac:dyDescent="0.35">
      <c r="A1392" s="299" t="s">
        <v>360</v>
      </c>
      <c r="B1392" s="299"/>
      <c r="C1392" s="300" t="s">
        <v>777</v>
      </c>
      <c r="D1392" s="168" t="s">
        <v>444</v>
      </c>
      <c r="E1392" s="330" t="s">
        <v>369</v>
      </c>
      <c r="F1392" s="89"/>
      <c r="G1392" s="302">
        <v>40.950000000000003</v>
      </c>
      <c r="H1392" s="302">
        <f>G1392+2.75</f>
        <v>43.7</v>
      </c>
      <c r="I1392" s="303"/>
      <c r="J1392" s="100" t="s">
        <v>428</v>
      </c>
      <c r="K1392" s="111">
        <v>44926</v>
      </c>
      <c r="L1392" s="309"/>
      <c r="M1392" s="100" t="s">
        <v>624</v>
      </c>
      <c r="N1392" s="100" t="s">
        <v>418</v>
      </c>
    </row>
    <row r="1393" spans="1:15" ht="15.65" hidden="1" customHeight="1" x14ac:dyDescent="0.35">
      <c r="A1393" s="183" t="s">
        <v>360</v>
      </c>
      <c r="B1393" s="183"/>
      <c r="C1393" s="184" t="s">
        <v>777</v>
      </c>
      <c r="D1393" s="168" t="s">
        <v>444</v>
      </c>
      <c r="E1393" s="330" t="s">
        <v>369</v>
      </c>
      <c r="F1393" s="99"/>
      <c r="G1393" s="185">
        <v>40.950000000000003</v>
      </c>
      <c r="H1393" s="185">
        <v>44.95</v>
      </c>
      <c r="I1393" s="187"/>
      <c r="J1393" s="99" t="s">
        <v>432</v>
      </c>
      <c r="K1393" s="107">
        <v>44804</v>
      </c>
      <c r="L1393" s="169" t="s">
        <v>763</v>
      </c>
      <c r="M1393" s="99" t="s">
        <v>624</v>
      </c>
      <c r="N1393" s="99" t="s">
        <v>443</v>
      </c>
    </row>
    <row r="1394" spans="1:15" ht="15.65" hidden="1" customHeight="1" x14ac:dyDescent="0.35">
      <c r="A1394" s="183" t="s">
        <v>360</v>
      </c>
      <c r="B1394" s="183"/>
      <c r="C1394" s="184" t="s">
        <v>777</v>
      </c>
      <c r="D1394" s="168" t="s">
        <v>444</v>
      </c>
      <c r="E1394" s="330" t="s">
        <v>369</v>
      </c>
      <c r="F1394" s="99"/>
      <c r="G1394" s="185">
        <v>40.950000000000003</v>
      </c>
      <c r="H1394" s="185">
        <v>45.95</v>
      </c>
      <c r="I1394" s="187"/>
      <c r="J1394" s="99" t="s">
        <v>432</v>
      </c>
      <c r="K1394" s="107">
        <v>44926</v>
      </c>
      <c r="L1394" s="169" t="s">
        <v>1279</v>
      </c>
      <c r="M1394" s="99" t="s">
        <v>624</v>
      </c>
      <c r="N1394" s="99" t="s">
        <v>443</v>
      </c>
    </row>
    <row r="1395" spans="1:15" ht="15.65" hidden="1" customHeight="1" x14ac:dyDescent="0.35">
      <c r="A1395" s="183" t="s">
        <v>782</v>
      </c>
      <c r="B1395" s="183"/>
      <c r="C1395" s="184" t="s">
        <v>783</v>
      </c>
      <c r="D1395" s="168" t="s">
        <v>444</v>
      </c>
      <c r="E1395" s="330" t="s">
        <v>369</v>
      </c>
      <c r="F1395" s="99"/>
      <c r="G1395" s="185">
        <v>142.65</v>
      </c>
      <c r="H1395" s="185">
        <f t="shared" ref="H1395:H1400" si="27">G1395+2.75</f>
        <v>145.4</v>
      </c>
      <c r="I1395" s="187"/>
      <c r="J1395" s="99" t="s">
        <v>428</v>
      </c>
      <c r="K1395" s="107">
        <v>44926</v>
      </c>
      <c r="L1395" s="99"/>
      <c r="M1395" s="99"/>
      <c r="N1395" s="99" t="s">
        <v>418</v>
      </c>
      <c r="O1395" s="133"/>
    </row>
    <row r="1396" spans="1:15" ht="15.65" hidden="1" customHeight="1" x14ac:dyDescent="0.35">
      <c r="A1396" s="183" t="s">
        <v>784</v>
      </c>
      <c r="B1396" s="183"/>
      <c r="C1396" s="184" t="s">
        <v>367</v>
      </c>
      <c r="D1396" s="168" t="s">
        <v>444</v>
      </c>
      <c r="E1396" s="482" t="s">
        <v>369</v>
      </c>
      <c r="F1396" s="99"/>
      <c r="G1396" s="185">
        <v>17.399999999999999</v>
      </c>
      <c r="H1396" s="185">
        <f t="shared" si="27"/>
        <v>20.149999999999999</v>
      </c>
      <c r="I1396" s="187"/>
      <c r="J1396" s="99" t="s">
        <v>432</v>
      </c>
      <c r="K1396" s="107">
        <v>44651</v>
      </c>
      <c r="L1396" s="99" t="s">
        <v>464</v>
      </c>
      <c r="M1396" s="99" t="s">
        <v>20</v>
      </c>
      <c r="N1396" s="99" t="s">
        <v>443</v>
      </c>
      <c r="O1396" s="134"/>
    </row>
    <row r="1397" spans="1:15" ht="15.65" hidden="1" customHeight="1" x14ac:dyDescent="0.35">
      <c r="A1397" s="183" t="s">
        <v>784</v>
      </c>
      <c r="B1397" s="183"/>
      <c r="C1397" s="184" t="s">
        <v>367</v>
      </c>
      <c r="D1397" s="168" t="s">
        <v>444</v>
      </c>
      <c r="E1397" s="482" t="s">
        <v>369</v>
      </c>
      <c r="F1397" s="99"/>
      <c r="G1397" s="185">
        <v>21.85</v>
      </c>
      <c r="H1397" s="185">
        <f t="shared" si="27"/>
        <v>24.6</v>
      </c>
      <c r="I1397" s="187"/>
      <c r="J1397" s="99" t="s">
        <v>428</v>
      </c>
      <c r="K1397" s="107">
        <v>44926</v>
      </c>
      <c r="L1397" s="99"/>
      <c r="M1397" s="99" t="s">
        <v>20</v>
      </c>
      <c r="N1397" s="99" t="s">
        <v>418</v>
      </c>
    </row>
    <row r="1398" spans="1:15" ht="15.65" hidden="1" customHeight="1" x14ac:dyDescent="0.35">
      <c r="A1398" s="183" t="s">
        <v>785</v>
      </c>
      <c r="B1398" s="183"/>
      <c r="C1398" s="184" t="s">
        <v>1280</v>
      </c>
      <c r="D1398" s="168" t="s">
        <v>427</v>
      </c>
      <c r="E1398" s="330" t="s">
        <v>369</v>
      </c>
      <c r="F1398" s="99"/>
      <c r="G1398" s="185">
        <v>60.35</v>
      </c>
      <c r="H1398" s="185">
        <f t="shared" si="27"/>
        <v>63.1</v>
      </c>
      <c r="I1398" s="187"/>
      <c r="J1398" s="99" t="s">
        <v>428</v>
      </c>
      <c r="K1398" s="107">
        <v>44561</v>
      </c>
      <c r="L1398" s="99"/>
      <c r="M1398" s="99" t="s">
        <v>20</v>
      </c>
      <c r="N1398" s="99" t="s">
        <v>457</v>
      </c>
    </row>
    <row r="1399" spans="1:15" ht="15.65" hidden="1" customHeight="1" x14ac:dyDescent="0.35">
      <c r="A1399" s="183" t="s">
        <v>785</v>
      </c>
      <c r="B1399" s="183"/>
      <c r="C1399" s="184" t="s">
        <v>1280</v>
      </c>
      <c r="D1399" s="168" t="s">
        <v>427</v>
      </c>
      <c r="E1399" s="330" t="s">
        <v>369</v>
      </c>
      <c r="F1399" s="99"/>
      <c r="G1399" s="185">
        <v>50.48</v>
      </c>
      <c r="H1399" s="185">
        <f t="shared" si="27"/>
        <v>53.23</v>
      </c>
      <c r="I1399" s="187"/>
      <c r="J1399" s="170" t="s">
        <v>1281</v>
      </c>
      <c r="K1399" s="107">
        <v>44561</v>
      </c>
      <c r="L1399" s="169" t="s">
        <v>1282</v>
      </c>
      <c r="M1399" s="99" t="s">
        <v>20</v>
      </c>
      <c r="N1399" s="99" t="s">
        <v>439</v>
      </c>
    </row>
    <row r="1400" spans="1:15" ht="15.65" hidden="1" customHeight="1" x14ac:dyDescent="0.35">
      <c r="A1400" s="183" t="s">
        <v>785</v>
      </c>
      <c r="B1400" s="183"/>
      <c r="C1400" s="184" t="s">
        <v>1280</v>
      </c>
      <c r="D1400" s="168" t="s">
        <v>444</v>
      </c>
      <c r="E1400" s="211" t="s">
        <v>369</v>
      </c>
      <c r="F1400" s="99"/>
      <c r="G1400" s="185">
        <v>60.35</v>
      </c>
      <c r="H1400" s="185">
        <f t="shared" si="27"/>
        <v>63.1</v>
      </c>
      <c r="I1400" s="187"/>
      <c r="J1400" s="99" t="s">
        <v>428</v>
      </c>
      <c r="K1400" s="107">
        <v>44926</v>
      </c>
      <c r="L1400" s="99"/>
      <c r="M1400" s="99" t="s">
        <v>20</v>
      </c>
      <c r="N1400" s="99" t="s">
        <v>418</v>
      </c>
    </row>
    <row r="1401" spans="1:15" ht="15.65" hidden="1" customHeight="1" x14ac:dyDescent="0.35">
      <c r="A1401" s="183" t="s">
        <v>1283</v>
      </c>
      <c r="B1401" s="183"/>
      <c r="C1401" s="184" t="s">
        <v>1284</v>
      </c>
      <c r="D1401" s="168" t="s">
        <v>474</v>
      </c>
      <c r="E1401" s="330" t="s">
        <v>369</v>
      </c>
      <c r="F1401" s="99"/>
      <c r="G1401" s="294">
        <v>507.55</v>
      </c>
      <c r="H1401" s="203">
        <v>510.3</v>
      </c>
      <c r="I1401" s="207"/>
      <c r="J1401" s="107" t="s">
        <v>428</v>
      </c>
      <c r="K1401" s="107">
        <v>44196</v>
      </c>
      <c r="L1401" s="99"/>
      <c r="M1401" s="99"/>
      <c r="N1401" s="173" t="s">
        <v>429</v>
      </c>
    </row>
    <row r="1402" spans="1:15" ht="15.65" hidden="1" customHeight="1" x14ac:dyDescent="0.35">
      <c r="A1402" s="183" t="s">
        <v>1035</v>
      </c>
      <c r="B1402" s="183"/>
      <c r="C1402" s="184" t="s">
        <v>1036</v>
      </c>
      <c r="D1402" s="168" t="s">
        <v>427</v>
      </c>
      <c r="E1402" s="330" t="s">
        <v>369</v>
      </c>
      <c r="F1402" s="99"/>
      <c r="G1402" s="185">
        <v>38</v>
      </c>
      <c r="H1402" s="185">
        <f>G1402+2.75</f>
        <v>40.75</v>
      </c>
      <c r="I1402" s="187"/>
      <c r="J1402" s="99" t="s">
        <v>437</v>
      </c>
      <c r="K1402" s="107">
        <v>44561</v>
      </c>
      <c r="L1402" s="99"/>
      <c r="M1402" s="99" t="s">
        <v>20</v>
      </c>
      <c r="N1402" s="99" t="s">
        <v>457</v>
      </c>
    </row>
    <row r="1403" spans="1:15" ht="15.65" hidden="1" customHeight="1" x14ac:dyDescent="0.35">
      <c r="A1403" s="183" t="s">
        <v>1035</v>
      </c>
      <c r="B1403" s="183"/>
      <c r="C1403" s="184" t="s">
        <v>1036</v>
      </c>
      <c r="D1403" s="168" t="s">
        <v>427</v>
      </c>
      <c r="E1403" s="330" t="s">
        <v>369</v>
      </c>
      <c r="F1403" s="99"/>
      <c r="G1403" s="185">
        <v>51.05</v>
      </c>
      <c r="H1403" s="185">
        <f>G1403+2.75</f>
        <v>53.8</v>
      </c>
      <c r="I1403" s="187"/>
      <c r="J1403" s="99" t="s">
        <v>428</v>
      </c>
      <c r="K1403" s="107">
        <v>44561</v>
      </c>
      <c r="L1403" s="99"/>
      <c r="M1403" s="99" t="s">
        <v>20</v>
      </c>
      <c r="N1403" s="99" t="s">
        <v>457</v>
      </c>
    </row>
    <row r="1404" spans="1:15" ht="15.65" hidden="1" customHeight="1" x14ac:dyDescent="0.35">
      <c r="A1404" s="183" t="s">
        <v>1035</v>
      </c>
      <c r="B1404" s="183"/>
      <c r="C1404" s="184" t="s">
        <v>1036</v>
      </c>
      <c r="D1404" s="168" t="s">
        <v>465</v>
      </c>
      <c r="E1404" s="330" t="s">
        <v>369</v>
      </c>
      <c r="F1404" s="99"/>
      <c r="G1404" s="185">
        <v>38</v>
      </c>
      <c r="H1404" s="185">
        <f>G1404+2.75</f>
        <v>40.75</v>
      </c>
      <c r="I1404" s="187"/>
      <c r="J1404" s="99" t="s">
        <v>437</v>
      </c>
      <c r="K1404" s="107">
        <v>44926</v>
      </c>
      <c r="L1404" s="169" t="s">
        <v>1203</v>
      </c>
      <c r="M1404" s="99" t="s">
        <v>20</v>
      </c>
      <c r="N1404" s="99" t="s">
        <v>443</v>
      </c>
    </row>
    <row r="1405" spans="1:15" ht="15.65" hidden="1" customHeight="1" x14ac:dyDescent="0.35">
      <c r="A1405" s="299" t="s">
        <v>1035</v>
      </c>
      <c r="B1405" s="299"/>
      <c r="C1405" s="300" t="s">
        <v>1036</v>
      </c>
      <c r="D1405" s="168" t="s">
        <v>444</v>
      </c>
      <c r="E1405" s="330" t="s">
        <v>369</v>
      </c>
      <c r="F1405" s="100"/>
      <c r="G1405" s="302">
        <v>51.05</v>
      </c>
      <c r="H1405" s="302">
        <f>G1405+2.75</f>
        <v>53.8</v>
      </c>
      <c r="I1405" s="303"/>
      <c r="J1405" s="100" t="s">
        <v>428</v>
      </c>
      <c r="K1405" s="111">
        <v>44926</v>
      </c>
      <c r="L1405" s="100"/>
      <c r="M1405" s="100" t="s">
        <v>20</v>
      </c>
      <c r="N1405" s="99" t="s">
        <v>418</v>
      </c>
    </row>
    <row r="1406" spans="1:15" ht="12" hidden="1" customHeight="1" x14ac:dyDescent="0.35">
      <c r="A1406" s="183" t="s">
        <v>1035</v>
      </c>
      <c r="B1406" s="183"/>
      <c r="C1406" s="184" t="s">
        <v>1036</v>
      </c>
      <c r="D1406" s="168" t="s">
        <v>427</v>
      </c>
      <c r="E1406" s="487" t="s">
        <v>653</v>
      </c>
      <c r="F1406" s="99"/>
      <c r="G1406" s="185">
        <v>51.05</v>
      </c>
      <c r="H1406" s="185">
        <v>55.05</v>
      </c>
      <c r="I1406" s="187"/>
      <c r="J1406" s="99" t="s">
        <v>509</v>
      </c>
      <c r="K1406" s="107">
        <v>44742</v>
      </c>
      <c r="L1406" s="169" t="s">
        <v>654</v>
      </c>
      <c r="M1406" s="99" t="s">
        <v>20</v>
      </c>
      <c r="N1406" s="99" t="s">
        <v>443</v>
      </c>
    </row>
    <row r="1407" spans="1:15" ht="12" hidden="1" customHeight="1" x14ac:dyDescent="0.35">
      <c r="A1407" s="183" t="s">
        <v>1035</v>
      </c>
      <c r="B1407" s="183"/>
      <c r="C1407" s="184" t="s">
        <v>1036</v>
      </c>
      <c r="D1407" s="168" t="s">
        <v>427</v>
      </c>
      <c r="E1407" s="487" t="s">
        <v>653</v>
      </c>
      <c r="F1407" s="99"/>
      <c r="G1407" s="185">
        <v>51.05</v>
      </c>
      <c r="H1407" s="185">
        <v>55.05</v>
      </c>
      <c r="I1407" s="187"/>
      <c r="J1407" s="99" t="s">
        <v>509</v>
      </c>
      <c r="K1407" s="107">
        <v>44865</v>
      </c>
      <c r="L1407" s="169" t="s">
        <v>1285</v>
      </c>
      <c r="M1407" s="99" t="s">
        <v>20</v>
      </c>
      <c r="N1407" s="99" t="s">
        <v>443</v>
      </c>
    </row>
    <row r="1408" spans="1:15" ht="15.65" hidden="1" customHeight="1" x14ac:dyDescent="0.35">
      <c r="A1408" s="183" t="s">
        <v>1035</v>
      </c>
      <c r="B1408" s="183"/>
      <c r="C1408" s="184" t="s">
        <v>1036</v>
      </c>
      <c r="D1408" s="168" t="s">
        <v>444</v>
      </c>
      <c r="E1408" s="487" t="s">
        <v>653</v>
      </c>
      <c r="F1408" s="89"/>
      <c r="G1408" s="185">
        <v>51.05</v>
      </c>
      <c r="H1408" s="185">
        <v>55.05</v>
      </c>
      <c r="I1408" s="187"/>
      <c r="J1408" s="99" t="s">
        <v>509</v>
      </c>
      <c r="K1408" s="107">
        <v>44926</v>
      </c>
      <c r="L1408" s="169" t="s">
        <v>1286</v>
      </c>
      <c r="M1408" s="99" t="s">
        <v>20</v>
      </c>
      <c r="N1408" s="99" t="s">
        <v>443</v>
      </c>
    </row>
    <row r="1409" spans="1:14" ht="15.65" hidden="1" customHeight="1" x14ac:dyDescent="0.35">
      <c r="A1409" s="174" t="s">
        <v>1037</v>
      </c>
      <c r="B1409" s="174"/>
      <c r="C1409" s="174" t="s">
        <v>1038</v>
      </c>
      <c r="D1409" s="290" t="s">
        <v>474</v>
      </c>
      <c r="E1409" s="486" t="s">
        <v>369</v>
      </c>
      <c r="F1409" s="489"/>
      <c r="G1409" s="185">
        <v>85.3</v>
      </c>
      <c r="H1409" s="185">
        <f>G1409+2.75</f>
        <v>88.05</v>
      </c>
      <c r="I1409" s="187"/>
      <c r="J1409" s="198" t="s">
        <v>509</v>
      </c>
      <c r="K1409" s="107">
        <v>44196</v>
      </c>
      <c r="L1409" s="99"/>
      <c r="M1409" s="99"/>
      <c r="N1409" s="173" t="s">
        <v>429</v>
      </c>
    </row>
    <row r="1410" spans="1:14" ht="15.65" hidden="1" customHeight="1" x14ac:dyDescent="0.35">
      <c r="A1410" s="174" t="s">
        <v>1037</v>
      </c>
      <c r="B1410" s="174"/>
      <c r="C1410" s="174" t="s">
        <v>1038</v>
      </c>
      <c r="D1410" s="290" t="s">
        <v>474</v>
      </c>
      <c r="E1410" s="486" t="s">
        <v>369</v>
      </c>
      <c r="F1410" s="489"/>
      <c r="G1410" s="185">
        <v>85.3</v>
      </c>
      <c r="H1410" s="185">
        <f>G1410+2.75</f>
        <v>88.05</v>
      </c>
      <c r="I1410" s="187"/>
      <c r="J1410" s="198" t="s">
        <v>428</v>
      </c>
      <c r="K1410" s="107">
        <v>44196</v>
      </c>
      <c r="L1410" s="99"/>
      <c r="M1410" s="99"/>
      <c r="N1410" s="173" t="s">
        <v>429</v>
      </c>
    </row>
    <row r="1411" spans="1:14" ht="15.65" hidden="1" customHeight="1" x14ac:dyDescent="0.35">
      <c r="A1411" s="183" t="s">
        <v>423</v>
      </c>
      <c r="B1411" s="183"/>
      <c r="C1411" s="184" t="s">
        <v>424</v>
      </c>
      <c r="D1411" s="168" t="s">
        <v>444</v>
      </c>
      <c r="E1411" s="337" t="s">
        <v>369</v>
      </c>
      <c r="F1411" s="489"/>
      <c r="G1411" s="185">
        <v>117.85</v>
      </c>
      <c r="H1411" s="185">
        <f>G1411+2.75</f>
        <v>120.6</v>
      </c>
      <c r="I1411" s="187"/>
      <c r="J1411" s="99" t="s">
        <v>428</v>
      </c>
      <c r="K1411" s="107">
        <v>44926</v>
      </c>
      <c r="L1411" s="99"/>
      <c r="M1411" s="99"/>
      <c r="N1411" s="99" t="s">
        <v>418</v>
      </c>
    </row>
    <row r="1412" spans="1:14" ht="15.65" hidden="1" customHeight="1" x14ac:dyDescent="0.35">
      <c r="A1412" s="183" t="s">
        <v>69</v>
      </c>
      <c r="B1412" s="183"/>
      <c r="C1412" s="174" t="s">
        <v>70</v>
      </c>
      <c r="D1412" s="290" t="s">
        <v>444</v>
      </c>
      <c r="E1412" s="211" t="s">
        <v>369</v>
      </c>
      <c r="F1412" s="489"/>
      <c r="G1412" s="185">
        <v>67.25</v>
      </c>
      <c r="H1412" s="185">
        <v>70</v>
      </c>
      <c r="I1412" s="187"/>
      <c r="J1412" s="198" t="s">
        <v>509</v>
      </c>
      <c r="K1412" s="107">
        <v>44926</v>
      </c>
      <c r="L1412" s="99"/>
      <c r="M1412" s="99"/>
      <c r="N1412" s="173" t="s">
        <v>418</v>
      </c>
    </row>
    <row r="1413" spans="1:14" ht="15.65" hidden="1" customHeight="1" x14ac:dyDescent="0.35">
      <c r="A1413" s="183" t="s">
        <v>69</v>
      </c>
      <c r="B1413" s="183"/>
      <c r="C1413" s="174" t="s">
        <v>70</v>
      </c>
      <c r="D1413" s="290" t="s">
        <v>444</v>
      </c>
      <c r="E1413" s="211" t="s">
        <v>369</v>
      </c>
      <c r="F1413" s="489"/>
      <c r="G1413" s="185">
        <v>67.25</v>
      </c>
      <c r="H1413" s="185">
        <v>70</v>
      </c>
      <c r="I1413" s="187"/>
      <c r="J1413" s="198" t="s">
        <v>428</v>
      </c>
      <c r="K1413" s="107">
        <v>44926</v>
      </c>
      <c r="L1413" s="100"/>
      <c r="M1413" s="100"/>
      <c r="N1413" s="581" t="s">
        <v>418</v>
      </c>
    </row>
    <row r="1414" spans="1:14" ht="15.65" hidden="1" customHeight="1" x14ac:dyDescent="0.35">
      <c r="A1414" s="183" t="s">
        <v>793</v>
      </c>
      <c r="B1414" s="183"/>
      <c r="C1414" s="174" t="s">
        <v>794</v>
      </c>
      <c r="D1414" s="290" t="s">
        <v>444</v>
      </c>
      <c r="E1414" s="211" t="s">
        <v>369</v>
      </c>
      <c r="F1414" s="489"/>
      <c r="G1414" s="185">
        <v>62.75</v>
      </c>
      <c r="H1414" s="296">
        <f>G1414+2.75</f>
        <v>65.5</v>
      </c>
      <c r="I1414" s="311"/>
      <c r="J1414" s="99" t="s">
        <v>428</v>
      </c>
      <c r="K1414" s="107">
        <v>44926</v>
      </c>
      <c r="L1414" s="99"/>
      <c r="M1414" s="99" t="s">
        <v>104</v>
      </c>
      <c r="N1414" s="235" t="s">
        <v>418</v>
      </c>
    </row>
    <row r="1415" spans="1:14" ht="15.65" hidden="1" customHeight="1" x14ac:dyDescent="0.35">
      <c r="A1415" s="183" t="s">
        <v>793</v>
      </c>
      <c r="B1415" s="183"/>
      <c r="C1415" s="174" t="s">
        <v>794</v>
      </c>
      <c r="D1415" s="290" t="s">
        <v>444</v>
      </c>
      <c r="E1415" s="211" t="s">
        <v>369</v>
      </c>
      <c r="F1415" s="489"/>
      <c r="G1415" s="514">
        <v>62.75</v>
      </c>
      <c r="H1415" s="296">
        <f>G1415+2.75</f>
        <v>65.5</v>
      </c>
      <c r="I1415" s="311"/>
      <c r="J1415" s="99" t="s">
        <v>449</v>
      </c>
      <c r="K1415" s="107">
        <v>44926</v>
      </c>
      <c r="L1415" s="169"/>
      <c r="M1415" s="100" t="s">
        <v>104</v>
      </c>
      <c r="N1415" s="235" t="s">
        <v>418</v>
      </c>
    </row>
    <row r="1416" spans="1:14" ht="15.65" hidden="1" customHeight="1" x14ac:dyDescent="0.35">
      <c r="A1416" s="188" t="s">
        <v>87</v>
      </c>
      <c r="B1416" s="188"/>
      <c r="C1416" s="184" t="s">
        <v>88</v>
      </c>
      <c r="D1416" s="168" t="s">
        <v>474</v>
      </c>
      <c r="E1416" s="330" t="s">
        <v>369</v>
      </c>
      <c r="F1416" s="489"/>
      <c r="G1416" s="185">
        <v>375</v>
      </c>
      <c r="H1416" s="185">
        <f>G1416+2.75</f>
        <v>377.75</v>
      </c>
      <c r="I1416" s="187"/>
      <c r="J1416" s="99" t="s">
        <v>428</v>
      </c>
      <c r="K1416" s="107">
        <v>44196</v>
      </c>
      <c r="L1416" s="99"/>
      <c r="M1416" s="100"/>
      <c r="N1416" s="99" t="s">
        <v>429</v>
      </c>
    </row>
    <row r="1417" spans="1:14" ht="15.65" hidden="1" customHeight="1" x14ac:dyDescent="0.35">
      <c r="A1417" s="183" t="s">
        <v>801</v>
      </c>
      <c r="B1417" s="183"/>
      <c r="C1417" s="184" t="s">
        <v>802</v>
      </c>
      <c r="D1417" s="168" t="s">
        <v>444</v>
      </c>
      <c r="E1417" s="211" t="s">
        <v>369</v>
      </c>
      <c r="F1417" s="489"/>
      <c r="G1417" s="185">
        <v>217.9</v>
      </c>
      <c r="H1417" s="185">
        <f>G1417+2.75</f>
        <v>220.65</v>
      </c>
      <c r="I1417" s="187"/>
      <c r="J1417" s="99" t="s">
        <v>428</v>
      </c>
      <c r="K1417" s="107">
        <v>44926</v>
      </c>
      <c r="L1417" s="99"/>
      <c r="M1417" s="99"/>
      <c r="N1417" s="99" t="s">
        <v>418</v>
      </c>
    </row>
    <row r="1418" spans="1:14" ht="15.65" hidden="1" customHeight="1" x14ac:dyDescent="0.35">
      <c r="A1418" s="183" t="s">
        <v>807</v>
      </c>
      <c r="B1418" s="183"/>
      <c r="C1418" s="184" t="s">
        <v>808</v>
      </c>
      <c r="D1418" s="168" t="s">
        <v>427</v>
      </c>
      <c r="E1418" s="330" t="s">
        <v>369</v>
      </c>
      <c r="F1418" s="489"/>
      <c r="G1418" s="185">
        <v>66.599999999999994</v>
      </c>
      <c r="H1418" s="106">
        <v>69.349999999999994</v>
      </c>
      <c r="I1418" s="99"/>
      <c r="J1418" s="107" t="s">
        <v>428</v>
      </c>
      <c r="K1418" s="107">
        <v>44377</v>
      </c>
      <c r="L1418" s="169" t="s">
        <v>1287</v>
      </c>
      <c r="M1418" s="100" t="s">
        <v>104</v>
      </c>
      <c r="N1418" s="99" t="s">
        <v>429</v>
      </c>
    </row>
    <row r="1419" spans="1:14" ht="15.65" hidden="1" customHeight="1" x14ac:dyDescent="0.35">
      <c r="A1419" s="183" t="s">
        <v>807</v>
      </c>
      <c r="B1419" s="183"/>
      <c r="C1419" s="184" t="s">
        <v>808</v>
      </c>
      <c r="D1419" s="168" t="s">
        <v>444</v>
      </c>
      <c r="E1419" s="211" t="s">
        <v>369</v>
      </c>
      <c r="F1419" s="489"/>
      <c r="G1419" s="185">
        <v>66.599999999999994</v>
      </c>
      <c r="H1419" s="185">
        <f>G1419+2.75</f>
        <v>69.349999999999994</v>
      </c>
      <c r="I1419" s="187"/>
      <c r="J1419" s="99" t="s">
        <v>432</v>
      </c>
      <c r="K1419" s="307">
        <v>44651</v>
      </c>
      <c r="L1419" s="169" t="s">
        <v>1288</v>
      </c>
      <c r="M1419" s="100"/>
      <c r="N1419" s="99" t="s">
        <v>443</v>
      </c>
    </row>
    <row r="1420" spans="1:14" ht="15.65" hidden="1" customHeight="1" x14ac:dyDescent="0.35">
      <c r="A1420" s="443" t="s">
        <v>807</v>
      </c>
      <c r="B1420" s="443"/>
      <c r="C1420" s="463" t="s">
        <v>808</v>
      </c>
      <c r="D1420" s="330" t="s">
        <v>444</v>
      </c>
      <c r="E1420" s="211" t="s">
        <v>369</v>
      </c>
      <c r="F1420" s="489"/>
      <c r="G1420" s="514">
        <v>66.599999999999994</v>
      </c>
      <c r="H1420" s="534">
        <v>69.349999999999994</v>
      </c>
      <c r="I1420" s="89"/>
      <c r="J1420" s="107" t="s">
        <v>428</v>
      </c>
      <c r="K1420" s="552">
        <v>44926</v>
      </c>
      <c r="L1420" s="169"/>
      <c r="M1420" s="100"/>
      <c r="N1420" s="89" t="s">
        <v>418</v>
      </c>
    </row>
    <row r="1421" spans="1:14" ht="15.65" hidden="1" customHeight="1" x14ac:dyDescent="0.35">
      <c r="A1421" s="183" t="s">
        <v>867</v>
      </c>
      <c r="B1421" s="183"/>
      <c r="C1421" s="184" t="s">
        <v>1047</v>
      </c>
      <c r="D1421" s="168" t="s">
        <v>427</v>
      </c>
      <c r="E1421" s="330" t="s">
        <v>369</v>
      </c>
      <c r="F1421" s="289"/>
      <c r="G1421" s="185">
        <v>43.15</v>
      </c>
      <c r="H1421" s="185">
        <f>G1421+2.75</f>
        <v>45.9</v>
      </c>
      <c r="I1421" s="187"/>
      <c r="J1421" s="99" t="s">
        <v>428</v>
      </c>
      <c r="K1421" s="107">
        <v>44196</v>
      </c>
      <c r="L1421" s="99"/>
      <c r="M1421" s="100" t="s">
        <v>20</v>
      </c>
      <c r="N1421" s="99" t="s">
        <v>429</v>
      </c>
    </row>
    <row r="1422" spans="1:14" ht="15.65" hidden="1" customHeight="1" x14ac:dyDescent="0.35">
      <c r="A1422" s="183" t="s">
        <v>867</v>
      </c>
      <c r="B1422" s="183"/>
      <c r="C1422" s="184" t="s">
        <v>1047</v>
      </c>
      <c r="D1422" s="168" t="s">
        <v>427</v>
      </c>
      <c r="E1422" s="330" t="s">
        <v>369</v>
      </c>
      <c r="F1422" s="489"/>
      <c r="G1422" s="185">
        <v>46.74</v>
      </c>
      <c r="H1422" s="185">
        <f>G1422+2.75</f>
        <v>49.49</v>
      </c>
      <c r="I1422" s="187"/>
      <c r="J1422" s="99" t="s">
        <v>437</v>
      </c>
      <c r="K1422" s="107">
        <v>44561</v>
      </c>
      <c r="L1422" s="99"/>
      <c r="M1422" s="99" t="s">
        <v>20</v>
      </c>
      <c r="N1422" s="99" t="s">
        <v>457</v>
      </c>
    </row>
    <row r="1423" spans="1:14" ht="15.65" hidden="1" customHeight="1" x14ac:dyDescent="0.35">
      <c r="A1423" s="183" t="s">
        <v>867</v>
      </c>
      <c r="B1423" s="183"/>
      <c r="C1423" s="184" t="s">
        <v>1047</v>
      </c>
      <c r="D1423" s="168" t="s">
        <v>465</v>
      </c>
      <c r="E1423" s="211" t="s">
        <v>369</v>
      </c>
      <c r="F1423" s="489"/>
      <c r="G1423" s="185">
        <v>48.28</v>
      </c>
      <c r="H1423" s="185">
        <f>G1423+2.75</f>
        <v>51.03</v>
      </c>
      <c r="I1423" s="187"/>
      <c r="J1423" s="99" t="s">
        <v>437</v>
      </c>
      <c r="K1423" s="107">
        <v>44926</v>
      </c>
      <c r="L1423" s="169" t="s">
        <v>1203</v>
      </c>
      <c r="M1423" s="99" t="s">
        <v>20</v>
      </c>
      <c r="N1423" s="99" t="s">
        <v>1221</v>
      </c>
    </row>
    <row r="1424" spans="1:14" ht="15.65" hidden="1" customHeight="1" x14ac:dyDescent="0.35">
      <c r="A1424" s="183" t="s">
        <v>867</v>
      </c>
      <c r="B1424" s="183"/>
      <c r="C1424" s="184" t="s">
        <v>1047</v>
      </c>
      <c r="D1424" s="168" t="s">
        <v>465</v>
      </c>
      <c r="E1424" s="211" t="s">
        <v>369</v>
      </c>
      <c r="F1424" s="489"/>
      <c r="G1424" s="185">
        <v>41</v>
      </c>
      <c r="H1424" s="185">
        <f>G1424+2.75</f>
        <v>43.75</v>
      </c>
      <c r="I1424" s="187"/>
      <c r="J1424" s="99" t="s">
        <v>428</v>
      </c>
      <c r="K1424" s="107">
        <v>44926</v>
      </c>
      <c r="L1424" s="169" t="s">
        <v>1289</v>
      </c>
      <c r="M1424" s="99" t="s">
        <v>20</v>
      </c>
      <c r="N1424" s="99" t="s">
        <v>1221</v>
      </c>
    </row>
    <row r="1425" spans="1:14" ht="15.65" hidden="1" customHeight="1" x14ac:dyDescent="0.35">
      <c r="A1425" s="183" t="s">
        <v>810</v>
      </c>
      <c r="B1425" s="183"/>
      <c r="C1425" s="184" t="s">
        <v>811</v>
      </c>
      <c r="D1425" s="168" t="s">
        <v>444</v>
      </c>
      <c r="E1425" s="211" t="s">
        <v>369</v>
      </c>
      <c r="F1425" s="489"/>
      <c r="G1425" s="185">
        <v>186.94</v>
      </c>
      <c r="H1425" s="215">
        <f>G1425+2.75</f>
        <v>189.69</v>
      </c>
      <c r="I1425" s="99"/>
      <c r="J1425" s="107" t="s">
        <v>552</v>
      </c>
      <c r="K1425" s="107">
        <v>44926</v>
      </c>
      <c r="L1425" s="99"/>
      <c r="M1425" s="99" t="s">
        <v>104</v>
      </c>
      <c r="N1425" s="173" t="s">
        <v>418</v>
      </c>
    </row>
    <row r="1426" spans="1:14" ht="15.65" customHeight="1" x14ac:dyDescent="0.35">
      <c r="A1426" s="183" t="s">
        <v>813</v>
      </c>
      <c r="B1426" s="183"/>
      <c r="C1426" s="184" t="s">
        <v>814</v>
      </c>
      <c r="D1426" s="168" t="s">
        <v>444</v>
      </c>
      <c r="E1426" s="211" t="s">
        <v>369</v>
      </c>
      <c r="F1426" s="489"/>
      <c r="G1426" s="185">
        <v>51.4</v>
      </c>
      <c r="H1426" s="185">
        <v>54.15</v>
      </c>
      <c r="I1426" s="187"/>
      <c r="J1426" s="99" t="s">
        <v>428</v>
      </c>
      <c r="K1426" s="107">
        <v>44926</v>
      </c>
      <c r="L1426" s="99"/>
      <c r="M1426" s="99"/>
      <c r="N1426" s="169" t="s">
        <v>418</v>
      </c>
    </row>
    <row r="1427" spans="1:14" ht="15.65" customHeight="1" x14ac:dyDescent="0.35">
      <c r="A1427" s="188" t="s">
        <v>813</v>
      </c>
      <c r="B1427" s="188"/>
      <c r="C1427" s="169" t="s">
        <v>815</v>
      </c>
      <c r="D1427" s="168" t="s">
        <v>465</v>
      </c>
      <c r="E1427" s="211" t="s">
        <v>369</v>
      </c>
      <c r="F1427" s="489"/>
      <c r="G1427" s="117">
        <v>51.4</v>
      </c>
      <c r="H1427" s="106">
        <v>54.15</v>
      </c>
      <c r="I1427" s="99"/>
      <c r="J1427" s="99" t="s">
        <v>509</v>
      </c>
      <c r="K1427" s="107">
        <v>44926</v>
      </c>
      <c r="L1427" s="169"/>
      <c r="M1427" s="99"/>
      <c r="N1427" s="108" t="s">
        <v>418</v>
      </c>
    </row>
    <row r="1428" spans="1:14" ht="15.65" hidden="1" customHeight="1" x14ac:dyDescent="0.35">
      <c r="A1428" s="183" t="s">
        <v>817</v>
      </c>
      <c r="B1428" s="183"/>
      <c r="C1428" s="184" t="s">
        <v>818</v>
      </c>
      <c r="D1428" s="168" t="s">
        <v>427</v>
      </c>
      <c r="E1428" s="330" t="s">
        <v>369</v>
      </c>
      <c r="F1428" s="489"/>
      <c r="G1428" s="185">
        <v>72.650000000000006</v>
      </c>
      <c r="H1428" s="185">
        <f t="shared" ref="H1428:H1434" si="28">G1428+2.75</f>
        <v>75.400000000000006</v>
      </c>
      <c r="I1428" s="187"/>
      <c r="J1428" s="99" t="s">
        <v>509</v>
      </c>
      <c r="K1428" s="107">
        <v>44561</v>
      </c>
      <c r="L1428" s="99"/>
      <c r="M1428" s="99" t="s">
        <v>20</v>
      </c>
      <c r="N1428" s="99" t="s">
        <v>457</v>
      </c>
    </row>
    <row r="1429" spans="1:14" ht="15.65" hidden="1" customHeight="1" x14ac:dyDescent="0.35">
      <c r="A1429" s="183" t="s">
        <v>817</v>
      </c>
      <c r="B1429" s="183"/>
      <c r="C1429" s="184" t="s">
        <v>818</v>
      </c>
      <c r="D1429" s="168" t="s">
        <v>427</v>
      </c>
      <c r="E1429" s="330" t="s">
        <v>369</v>
      </c>
      <c r="F1429" s="489"/>
      <c r="G1429" s="185">
        <v>125.15</v>
      </c>
      <c r="H1429" s="185">
        <f t="shared" si="28"/>
        <v>127.9</v>
      </c>
      <c r="I1429" s="187"/>
      <c r="J1429" s="99" t="s">
        <v>449</v>
      </c>
      <c r="K1429" s="107">
        <v>44561</v>
      </c>
      <c r="L1429" s="99" t="s">
        <v>494</v>
      </c>
      <c r="M1429" s="99" t="s">
        <v>20</v>
      </c>
      <c r="N1429" s="217" t="s">
        <v>457</v>
      </c>
    </row>
    <row r="1430" spans="1:14" ht="15.65" hidden="1" customHeight="1" x14ac:dyDescent="0.35">
      <c r="A1430" s="183" t="s">
        <v>817</v>
      </c>
      <c r="B1430" s="183"/>
      <c r="C1430" s="184" t="s">
        <v>818</v>
      </c>
      <c r="D1430" s="168" t="s">
        <v>427</v>
      </c>
      <c r="E1430" s="330" t="s">
        <v>369</v>
      </c>
      <c r="F1430" s="489"/>
      <c r="G1430" s="106">
        <v>125.15</v>
      </c>
      <c r="H1430" s="117">
        <f t="shared" si="28"/>
        <v>127.9</v>
      </c>
      <c r="I1430" s="190"/>
      <c r="J1430" s="99" t="s">
        <v>432</v>
      </c>
      <c r="K1430" s="107">
        <v>44561</v>
      </c>
      <c r="L1430" s="169" t="s">
        <v>1290</v>
      </c>
      <c r="M1430" s="99" t="s">
        <v>20</v>
      </c>
      <c r="N1430" s="108" t="s">
        <v>439</v>
      </c>
    </row>
    <row r="1431" spans="1:14" ht="15.65" hidden="1" customHeight="1" x14ac:dyDescent="0.35">
      <c r="A1431" s="183" t="s">
        <v>817</v>
      </c>
      <c r="B1431" s="183"/>
      <c r="C1431" s="184" t="s">
        <v>818</v>
      </c>
      <c r="D1431" s="168" t="s">
        <v>427</v>
      </c>
      <c r="E1431" s="330" t="s">
        <v>369</v>
      </c>
      <c r="F1431" s="489"/>
      <c r="G1431" s="185">
        <v>125.15</v>
      </c>
      <c r="H1431" s="185">
        <f t="shared" si="28"/>
        <v>127.9</v>
      </c>
      <c r="I1431" s="187"/>
      <c r="J1431" s="99" t="s">
        <v>1291</v>
      </c>
      <c r="K1431" s="107">
        <v>44561</v>
      </c>
      <c r="L1431" s="169" t="s">
        <v>1292</v>
      </c>
      <c r="M1431" s="99" t="s">
        <v>20</v>
      </c>
      <c r="N1431" s="182" t="s">
        <v>443</v>
      </c>
    </row>
    <row r="1432" spans="1:14" ht="15.65" hidden="1" customHeight="1" x14ac:dyDescent="0.35">
      <c r="A1432" s="183" t="s">
        <v>817</v>
      </c>
      <c r="B1432" s="183"/>
      <c r="C1432" s="184" t="s">
        <v>818</v>
      </c>
      <c r="D1432" s="168" t="s">
        <v>427</v>
      </c>
      <c r="E1432" s="330" t="s">
        <v>369</v>
      </c>
      <c r="F1432" s="489"/>
      <c r="G1432" s="185">
        <v>121.25</v>
      </c>
      <c r="H1432" s="185">
        <f t="shared" si="28"/>
        <v>124</v>
      </c>
      <c r="I1432" s="187"/>
      <c r="J1432" s="99" t="s">
        <v>1293</v>
      </c>
      <c r="K1432" s="107">
        <v>44561</v>
      </c>
      <c r="L1432" s="169" t="s">
        <v>1294</v>
      </c>
      <c r="M1432" s="99" t="s">
        <v>20</v>
      </c>
      <c r="N1432" s="182" t="s">
        <v>443</v>
      </c>
    </row>
    <row r="1433" spans="1:14" ht="15.65" hidden="1" customHeight="1" x14ac:dyDescent="0.35">
      <c r="A1433" s="183" t="s">
        <v>817</v>
      </c>
      <c r="B1433" s="183"/>
      <c r="C1433" s="184" t="s">
        <v>818</v>
      </c>
      <c r="D1433" s="168" t="s">
        <v>465</v>
      </c>
      <c r="E1433" s="211" t="s">
        <v>369</v>
      </c>
      <c r="F1433" s="489"/>
      <c r="G1433" s="185">
        <v>127.5</v>
      </c>
      <c r="H1433" s="185">
        <f t="shared" si="28"/>
        <v>130.25</v>
      </c>
      <c r="I1433" s="187"/>
      <c r="J1433" s="99" t="s">
        <v>428</v>
      </c>
      <c r="K1433" s="107">
        <v>44926</v>
      </c>
      <c r="L1433" s="169" t="s">
        <v>1295</v>
      </c>
      <c r="M1433" s="99" t="s">
        <v>624</v>
      </c>
      <c r="N1433" s="182" t="s">
        <v>443</v>
      </c>
    </row>
    <row r="1434" spans="1:14" ht="15.65" hidden="1" customHeight="1" x14ac:dyDescent="0.35">
      <c r="A1434" s="183" t="s">
        <v>817</v>
      </c>
      <c r="B1434" s="183"/>
      <c r="C1434" s="184" t="s">
        <v>818</v>
      </c>
      <c r="D1434" s="168" t="s">
        <v>444</v>
      </c>
      <c r="E1434" s="211" t="s">
        <v>369</v>
      </c>
      <c r="F1434" s="489"/>
      <c r="G1434" s="185">
        <v>127.5</v>
      </c>
      <c r="H1434" s="185">
        <f t="shared" si="28"/>
        <v>130.25</v>
      </c>
      <c r="I1434" s="187"/>
      <c r="J1434" s="99" t="s">
        <v>449</v>
      </c>
      <c r="K1434" s="107">
        <v>44926</v>
      </c>
      <c r="L1434" s="99"/>
      <c r="M1434" s="99" t="s">
        <v>624</v>
      </c>
      <c r="N1434" s="217" t="s">
        <v>458</v>
      </c>
    </row>
    <row r="1435" spans="1:14" ht="15.65" hidden="1" customHeight="1" x14ac:dyDescent="0.35">
      <c r="A1435" s="183" t="s">
        <v>817</v>
      </c>
      <c r="B1435" s="183"/>
      <c r="C1435" s="184" t="s">
        <v>818</v>
      </c>
      <c r="D1435" s="168" t="s">
        <v>427</v>
      </c>
      <c r="E1435" s="211" t="s">
        <v>369</v>
      </c>
      <c r="F1435" s="489"/>
      <c r="G1435" s="185">
        <v>127.5</v>
      </c>
      <c r="H1435" s="185">
        <v>131.5</v>
      </c>
      <c r="I1435" s="187"/>
      <c r="J1435" s="99" t="s">
        <v>432</v>
      </c>
      <c r="K1435" s="107">
        <v>44742</v>
      </c>
      <c r="L1435" s="169" t="s">
        <v>1296</v>
      </c>
      <c r="M1435" s="99" t="s">
        <v>20</v>
      </c>
      <c r="N1435" s="217" t="s">
        <v>443</v>
      </c>
    </row>
    <row r="1436" spans="1:14" ht="15.65" hidden="1" customHeight="1" x14ac:dyDescent="0.35">
      <c r="A1436" s="183" t="s">
        <v>817</v>
      </c>
      <c r="B1436" s="183"/>
      <c r="C1436" s="184" t="s">
        <v>818</v>
      </c>
      <c r="D1436" s="168" t="s">
        <v>444</v>
      </c>
      <c r="E1436" s="211" t="s">
        <v>369</v>
      </c>
      <c r="F1436" s="489"/>
      <c r="G1436" s="185">
        <v>127.5</v>
      </c>
      <c r="H1436" s="185">
        <v>131.5</v>
      </c>
      <c r="I1436" s="187"/>
      <c r="J1436" s="99" t="s">
        <v>432</v>
      </c>
      <c r="K1436" s="107">
        <v>44926</v>
      </c>
      <c r="L1436" s="169" t="s">
        <v>570</v>
      </c>
      <c r="M1436" s="99" t="s">
        <v>20</v>
      </c>
      <c r="N1436" s="217" t="s">
        <v>443</v>
      </c>
    </row>
    <row r="1437" spans="1:14" ht="15.65" hidden="1" customHeight="1" x14ac:dyDescent="0.35">
      <c r="A1437" s="183" t="s">
        <v>1297</v>
      </c>
      <c r="B1437" s="299"/>
      <c r="C1437" s="300" t="s">
        <v>925</v>
      </c>
      <c r="D1437" s="168" t="s">
        <v>427</v>
      </c>
      <c r="E1437" s="330" t="s">
        <v>369</v>
      </c>
      <c r="F1437" s="489"/>
      <c r="G1437" s="302">
        <v>100</v>
      </c>
      <c r="H1437" s="302">
        <f t="shared" ref="H1437:H1445" si="29">G1437+2.75</f>
        <v>102.75</v>
      </c>
      <c r="I1437" s="303"/>
      <c r="J1437" s="100" t="s">
        <v>449</v>
      </c>
      <c r="K1437" s="107">
        <v>44561</v>
      </c>
      <c r="L1437" s="99" t="s">
        <v>494</v>
      </c>
      <c r="M1437" s="99"/>
      <c r="N1437" s="217" t="s">
        <v>457</v>
      </c>
    </row>
    <row r="1438" spans="1:14" ht="15.65" hidden="1" customHeight="1" x14ac:dyDescent="0.35">
      <c r="A1438" s="183" t="s">
        <v>1297</v>
      </c>
      <c r="B1438" s="183"/>
      <c r="C1438" s="184" t="s">
        <v>925</v>
      </c>
      <c r="D1438" s="168" t="s">
        <v>444</v>
      </c>
      <c r="E1438" s="336" t="s">
        <v>369</v>
      </c>
      <c r="F1438" s="489"/>
      <c r="G1438" s="185">
        <v>100</v>
      </c>
      <c r="H1438" s="185">
        <f t="shared" si="29"/>
        <v>102.75</v>
      </c>
      <c r="I1438" s="187"/>
      <c r="J1438" s="99" t="s">
        <v>449</v>
      </c>
      <c r="K1438" s="107">
        <v>44926</v>
      </c>
      <c r="L1438" s="99"/>
      <c r="M1438" s="99"/>
      <c r="N1438" s="217" t="s">
        <v>458</v>
      </c>
    </row>
    <row r="1439" spans="1:14" ht="15.65" hidden="1" customHeight="1" x14ac:dyDescent="0.35">
      <c r="A1439" s="183" t="s">
        <v>1055</v>
      </c>
      <c r="B1439" s="183"/>
      <c r="C1439" s="184" t="s">
        <v>926</v>
      </c>
      <c r="D1439" s="168" t="s">
        <v>427</v>
      </c>
      <c r="E1439" s="330" t="s">
        <v>369</v>
      </c>
      <c r="F1439" s="489"/>
      <c r="G1439" s="185">
        <v>32.700000000000003</v>
      </c>
      <c r="H1439" s="185">
        <f t="shared" si="29"/>
        <v>35.450000000000003</v>
      </c>
      <c r="I1439" s="187"/>
      <c r="J1439" s="99" t="s">
        <v>449</v>
      </c>
      <c r="K1439" s="107">
        <v>44561</v>
      </c>
      <c r="L1439" s="99" t="s">
        <v>494</v>
      </c>
      <c r="M1439" s="99"/>
      <c r="N1439" s="217" t="s">
        <v>457</v>
      </c>
    </row>
    <row r="1440" spans="1:14" ht="15.65" hidden="1" customHeight="1" thickBot="1" x14ac:dyDescent="0.4">
      <c r="A1440" s="183" t="s">
        <v>1055</v>
      </c>
      <c r="B1440" s="183"/>
      <c r="C1440" s="184" t="s">
        <v>926</v>
      </c>
      <c r="D1440" s="168" t="s">
        <v>427</v>
      </c>
      <c r="E1440" s="330" t="s">
        <v>369</v>
      </c>
      <c r="F1440" s="497"/>
      <c r="G1440" s="185">
        <v>32.700000000000003</v>
      </c>
      <c r="H1440" s="185">
        <f t="shared" si="29"/>
        <v>35.450000000000003</v>
      </c>
      <c r="I1440" s="187"/>
      <c r="J1440" s="99" t="s">
        <v>428</v>
      </c>
      <c r="K1440" s="107">
        <v>44196</v>
      </c>
      <c r="L1440" s="99"/>
      <c r="M1440" s="99"/>
      <c r="N1440" s="99" t="s">
        <v>429</v>
      </c>
    </row>
    <row r="1441" spans="1:14" ht="15.65" hidden="1" customHeight="1" thickBot="1" x14ac:dyDescent="0.4">
      <c r="A1441" s="183" t="s">
        <v>1055</v>
      </c>
      <c r="B1441" s="183"/>
      <c r="C1441" s="184" t="s">
        <v>926</v>
      </c>
      <c r="D1441" s="168" t="s">
        <v>444</v>
      </c>
      <c r="E1441" s="336" t="s">
        <v>369</v>
      </c>
      <c r="F1441" s="497"/>
      <c r="G1441" s="185">
        <v>32.700000000000003</v>
      </c>
      <c r="H1441" s="185">
        <f t="shared" si="29"/>
        <v>35.450000000000003</v>
      </c>
      <c r="I1441" s="187"/>
      <c r="J1441" s="99" t="s">
        <v>449</v>
      </c>
      <c r="K1441" s="107">
        <v>44926</v>
      </c>
      <c r="L1441" s="99"/>
      <c r="M1441" s="99"/>
      <c r="N1441" s="217" t="s">
        <v>458</v>
      </c>
    </row>
    <row r="1442" spans="1:14" ht="15.65" hidden="1" customHeight="1" x14ac:dyDescent="0.35">
      <c r="A1442" s="183" t="s">
        <v>1055</v>
      </c>
      <c r="B1442" s="183"/>
      <c r="C1442" s="184" t="s">
        <v>926</v>
      </c>
      <c r="D1442" s="168" t="s">
        <v>444</v>
      </c>
      <c r="E1442" s="336" t="s">
        <v>369</v>
      </c>
      <c r="F1442" s="489"/>
      <c r="G1442" s="185">
        <v>32.700000000000003</v>
      </c>
      <c r="H1442" s="185">
        <f t="shared" si="29"/>
        <v>35.450000000000003</v>
      </c>
      <c r="I1442" s="187"/>
      <c r="J1442" s="99" t="s">
        <v>428</v>
      </c>
      <c r="K1442" s="107">
        <v>44926</v>
      </c>
      <c r="L1442" s="99"/>
      <c r="M1442" s="99"/>
      <c r="N1442" s="99" t="s">
        <v>418</v>
      </c>
    </row>
    <row r="1443" spans="1:14" ht="15.65" hidden="1" customHeight="1" x14ac:dyDescent="0.35">
      <c r="A1443" s="183" t="s">
        <v>1298</v>
      </c>
      <c r="B1443" s="183"/>
      <c r="C1443" s="184" t="s">
        <v>927</v>
      </c>
      <c r="D1443" s="168" t="s">
        <v>427</v>
      </c>
      <c r="E1443" s="336" t="s">
        <v>369</v>
      </c>
      <c r="F1443" s="489"/>
      <c r="G1443" s="185">
        <v>21.85</v>
      </c>
      <c r="H1443" s="185">
        <f t="shared" si="29"/>
        <v>24.6</v>
      </c>
      <c r="I1443" s="187"/>
      <c r="J1443" s="99" t="s">
        <v>428</v>
      </c>
      <c r="K1443" s="107">
        <v>44561</v>
      </c>
      <c r="L1443" s="99"/>
      <c r="M1443" s="99"/>
      <c r="N1443" s="99" t="s">
        <v>457</v>
      </c>
    </row>
    <row r="1444" spans="1:14" ht="15.65" hidden="1" customHeight="1" x14ac:dyDescent="0.35">
      <c r="A1444" s="183" t="s">
        <v>1298</v>
      </c>
      <c r="B1444" s="183"/>
      <c r="C1444" s="184" t="s">
        <v>927</v>
      </c>
      <c r="D1444" s="168" t="s">
        <v>427</v>
      </c>
      <c r="E1444" s="336" t="s">
        <v>369</v>
      </c>
      <c r="F1444" s="489"/>
      <c r="G1444" s="185">
        <v>22.1</v>
      </c>
      <c r="H1444" s="185">
        <f t="shared" si="29"/>
        <v>24.85</v>
      </c>
      <c r="I1444" s="187"/>
      <c r="J1444" s="99" t="s">
        <v>428</v>
      </c>
      <c r="K1444" s="107">
        <v>44712</v>
      </c>
      <c r="L1444" s="169" t="s">
        <v>1205</v>
      </c>
      <c r="M1444" s="99"/>
      <c r="N1444" s="99" t="s">
        <v>443</v>
      </c>
    </row>
    <row r="1445" spans="1:14" ht="15.65" hidden="1" customHeight="1" thickBot="1" x14ac:dyDescent="0.4">
      <c r="A1445" s="183" t="s">
        <v>1298</v>
      </c>
      <c r="B1445" s="183"/>
      <c r="C1445" s="184" t="s">
        <v>927</v>
      </c>
      <c r="D1445" s="301" t="s">
        <v>465</v>
      </c>
      <c r="E1445" s="336" t="s">
        <v>369</v>
      </c>
      <c r="F1445" s="497"/>
      <c r="G1445" s="302">
        <v>22.1</v>
      </c>
      <c r="H1445" s="302">
        <f t="shared" si="29"/>
        <v>24.85</v>
      </c>
      <c r="I1445" s="303"/>
      <c r="J1445" s="100" t="s">
        <v>509</v>
      </c>
      <c r="K1445" s="111">
        <v>44926</v>
      </c>
      <c r="L1445" s="309" t="s">
        <v>1299</v>
      </c>
      <c r="M1445" s="100"/>
      <c r="N1445" s="100" t="s">
        <v>443</v>
      </c>
    </row>
    <row r="1446" spans="1:14" ht="15.65" hidden="1" customHeight="1" x14ac:dyDescent="0.35">
      <c r="A1446" s="183" t="s">
        <v>1298</v>
      </c>
      <c r="B1446" s="183"/>
      <c r="C1446" s="305" t="s">
        <v>927</v>
      </c>
      <c r="D1446" s="316" t="s">
        <v>465</v>
      </c>
      <c r="E1446" s="170" t="s">
        <v>369</v>
      </c>
      <c r="F1446" s="489"/>
      <c r="G1446" s="507">
        <v>22.1</v>
      </c>
      <c r="H1446" s="185">
        <v>24.85</v>
      </c>
      <c r="I1446" s="187"/>
      <c r="J1446" s="99" t="s">
        <v>428</v>
      </c>
      <c r="K1446" s="107">
        <v>44926</v>
      </c>
      <c r="L1446" s="557" t="s">
        <v>1300</v>
      </c>
      <c r="M1446" s="313"/>
      <c r="N1446" s="313" t="s">
        <v>443</v>
      </c>
    </row>
    <row r="1447" spans="1:14" ht="15.65" hidden="1" customHeight="1" x14ac:dyDescent="0.35">
      <c r="A1447" s="183" t="s">
        <v>829</v>
      </c>
      <c r="B1447" s="183"/>
      <c r="C1447" s="184" t="s">
        <v>830</v>
      </c>
      <c r="D1447" s="343" t="s">
        <v>465</v>
      </c>
      <c r="E1447" s="337" t="s">
        <v>369</v>
      </c>
      <c r="F1447" s="489"/>
      <c r="G1447" s="532">
        <v>60.6</v>
      </c>
      <c r="H1447" s="532">
        <f>G1447+2.75</f>
        <v>63.35</v>
      </c>
      <c r="I1447" s="349"/>
      <c r="J1447" s="349" t="s">
        <v>487</v>
      </c>
      <c r="K1447" s="550">
        <v>44926</v>
      </c>
      <c r="L1447" s="574" t="s">
        <v>1301</v>
      </c>
      <c r="M1447" s="349"/>
      <c r="N1447" s="351" t="s">
        <v>443</v>
      </c>
    </row>
    <row r="1448" spans="1:14" ht="15.65" hidden="1" customHeight="1" x14ac:dyDescent="0.35">
      <c r="A1448" s="183" t="s">
        <v>831</v>
      </c>
      <c r="B1448" s="183"/>
      <c r="C1448" s="184" t="s">
        <v>832</v>
      </c>
      <c r="D1448" s="168" t="s">
        <v>444</v>
      </c>
      <c r="E1448" s="337" t="s">
        <v>369</v>
      </c>
      <c r="F1448" s="489"/>
      <c r="G1448" s="185">
        <v>38.75</v>
      </c>
      <c r="H1448" s="185">
        <f>G1448+2.75</f>
        <v>41.5</v>
      </c>
      <c r="I1448" s="187"/>
      <c r="J1448" s="99" t="s">
        <v>428</v>
      </c>
      <c r="K1448" s="107">
        <v>44926</v>
      </c>
      <c r="L1448" s="99"/>
      <c r="M1448" s="99"/>
      <c r="N1448" s="99" t="s">
        <v>418</v>
      </c>
    </row>
    <row r="1449" spans="1:14" ht="15.65" hidden="1" customHeight="1" x14ac:dyDescent="0.35">
      <c r="A1449" s="299" t="s">
        <v>836</v>
      </c>
      <c r="B1449" s="299"/>
      <c r="C1449" s="300" t="s">
        <v>837</v>
      </c>
      <c r="D1449" s="301" t="s">
        <v>444</v>
      </c>
      <c r="E1449" s="337" t="s">
        <v>369</v>
      </c>
      <c r="F1449" s="489"/>
      <c r="G1449" s="302">
        <v>54.4</v>
      </c>
      <c r="H1449" s="302">
        <f>G1449+2.75</f>
        <v>57.15</v>
      </c>
      <c r="I1449" s="303"/>
      <c r="J1449" s="100" t="s">
        <v>428</v>
      </c>
      <c r="K1449" s="111">
        <v>44926</v>
      </c>
      <c r="L1449" s="309"/>
      <c r="M1449" s="100"/>
      <c r="N1449" s="100" t="s">
        <v>418</v>
      </c>
    </row>
    <row r="1450" spans="1:14" ht="15.65" hidden="1" customHeight="1" x14ac:dyDescent="0.35">
      <c r="A1450" s="321" t="s">
        <v>841</v>
      </c>
      <c r="B1450" s="321"/>
      <c r="C1450" s="315" t="s">
        <v>842</v>
      </c>
      <c r="D1450" s="316" t="s">
        <v>444</v>
      </c>
      <c r="E1450" s="167" t="s">
        <v>369</v>
      </c>
      <c r="F1450" s="489"/>
      <c r="G1450" s="507"/>
      <c r="H1450" s="185">
        <v>42</v>
      </c>
      <c r="I1450" s="187"/>
      <c r="J1450" s="99" t="s">
        <v>428</v>
      </c>
      <c r="K1450" s="107">
        <v>44926</v>
      </c>
      <c r="L1450" s="560" t="s">
        <v>843</v>
      </c>
      <c r="M1450" s="313"/>
      <c r="N1450" s="313" t="s">
        <v>418</v>
      </c>
    </row>
    <row r="1451" spans="1:14" ht="15.65" hidden="1" customHeight="1" x14ac:dyDescent="0.35">
      <c r="A1451" s="321" t="s">
        <v>844</v>
      </c>
      <c r="B1451" s="321"/>
      <c r="C1451" s="315" t="s">
        <v>845</v>
      </c>
      <c r="D1451" s="316" t="s">
        <v>427</v>
      </c>
      <c r="E1451" s="168" t="s">
        <v>369</v>
      </c>
      <c r="F1451" s="489"/>
      <c r="G1451" s="507" t="s">
        <v>513</v>
      </c>
      <c r="H1451" s="185">
        <v>24.45</v>
      </c>
      <c r="I1451" s="187"/>
      <c r="J1451" s="99" t="s">
        <v>428</v>
      </c>
      <c r="K1451" s="107">
        <v>44196</v>
      </c>
      <c r="L1451" s="560" t="s">
        <v>843</v>
      </c>
      <c r="M1451" s="313" t="s">
        <v>20</v>
      </c>
      <c r="N1451" s="313" t="s">
        <v>429</v>
      </c>
    </row>
    <row r="1452" spans="1:14" ht="15.65" hidden="1" customHeight="1" x14ac:dyDescent="0.35">
      <c r="A1452" s="321" t="s">
        <v>844</v>
      </c>
      <c r="B1452" s="321"/>
      <c r="C1452" s="315" t="s">
        <v>845</v>
      </c>
      <c r="D1452" s="316" t="s">
        <v>444</v>
      </c>
      <c r="E1452" s="170" t="s">
        <v>369</v>
      </c>
      <c r="F1452" s="489"/>
      <c r="G1452" s="507" t="s">
        <v>513</v>
      </c>
      <c r="H1452" s="185">
        <v>24.45</v>
      </c>
      <c r="I1452" s="187"/>
      <c r="J1452" s="99" t="s">
        <v>432</v>
      </c>
      <c r="K1452" s="107">
        <v>44651</v>
      </c>
      <c r="L1452" s="557" t="s">
        <v>464</v>
      </c>
      <c r="M1452" s="313"/>
      <c r="N1452" s="313" t="s">
        <v>443</v>
      </c>
    </row>
    <row r="1453" spans="1:14" ht="15.65" hidden="1" customHeight="1" x14ac:dyDescent="0.35">
      <c r="A1453" s="321" t="s">
        <v>844</v>
      </c>
      <c r="B1453" s="321"/>
      <c r="C1453" s="315" t="s">
        <v>845</v>
      </c>
      <c r="D1453" s="316" t="s">
        <v>444</v>
      </c>
      <c r="E1453" s="170" t="s">
        <v>369</v>
      </c>
      <c r="F1453" s="489"/>
      <c r="G1453" s="507" t="s">
        <v>513</v>
      </c>
      <c r="H1453" s="185">
        <v>24.45</v>
      </c>
      <c r="I1453" s="187"/>
      <c r="J1453" s="99" t="s">
        <v>428</v>
      </c>
      <c r="K1453" s="107">
        <v>44926</v>
      </c>
      <c r="L1453" s="557" t="s">
        <v>843</v>
      </c>
      <c r="M1453" s="313"/>
      <c r="N1453" s="313" t="s">
        <v>418</v>
      </c>
    </row>
    <row r="1454" spans="1:14" ht="15.65" hidden="1" customHeight="1" x14ac:dyDescent="0.35">
      <c r="A1454" s="313">
        <v>23.06</v>
      </c>
      <c r="B1454" s="313"/>
      <c r="C1454" s="313" t="s">
        <v>1302</v>
      </c>
      <c r="D1454" s="316" t="s">
        <v>28</v>
      </c>
      <c r="E1454" s="150" t="s">
        <v>986</v>
      </c>
      <c r="G1454" s="512" t="s">
        <v>1303</v>
      </c>
      <c r="H1454" s="106">
        <v>218</v>
      </c>
      <c r="I1454" s="99"/>
      <c r="J1454" s="99" t="s">
        <v>56</v>
      </c>
      <c r="K1454" s="267">
        <v>45657</v>
      </c>
      <c r="L1454" s="560" t="s">
        <v>125</v>
      </c>
      <c r="M1454" s="313" t="s">
        <v>20</v>
      </c>
      <c r="N1454" s="580" t="s">
        <v>126</v>
      </c>
    </row>
    <row r="1455" spans="1:14" ht="15.65" customHeight="1" x14ac:dyDescent="0.35">
      <c r="A1455" s="313">
        <v>55.097493</v>
      </c>
      <c r="B1455" s="313"/>
      <c r="C1455" s="313" t="s">
        <v>1304</v>
      </c>
      <c r="D1455" s="316" t="s">
        <v>28</v>
      </c>
      <c r="E1455" s="150" t="s">
        <v>986</v>
      </c>
      <c r="G1455" s="512" t="s">
        <v>1305</v>
      </c>
      <c r="H1455" s="106">
        <v>51</v>
      </c>
      <c r="I1455" s="99"/>
      <c r="J1455" s="99" t="s">
        <v>56</v>
      </c>
      <c r="K1455" s="267">
        <v>45657</v>
      </c>
      <c r="L1455" s="560" t="s">
        <v>125</v>
      </c>
      <c r="M1455" s="313" t="s">
        <v>20</v>
      </c>
      <c r="N1455" s="580" t="s">
        <v>126</v>
      </c>
    </row>
    <row r="1456" spans="1:14" ht="15.65" hidden="1" customHeight="1" x14ac:dyDescent="0.35">
      <c r="A1456" s="313">
        <v>48.002000000000002</v>
      </c>
      <c r="B1456" s="313"/>
      <c r="C1456" s="313" t="s">
        <v>899</v>
      </c>
      <c r="D1456" s="316" t="s">
        <v>28</v>
      </c>
      <c r="E1456" s="150" t="s">
        <v>986</v>
      </c>
      <c r="G1456" s="511">
        <v>160</v>
      </c>
      <c r="H1456" s="117">
        <v>165</v>
      </c>
      <c r="I1456" s="99"/>
      <c r="J1456" s="189" t="s">
        <v>1306</v>
      </c>
      <c r="K1456" s="267">
        <v>45657</v>
      </c>
      <c r="L1456" s="560" t="s">
        <v>125</v>
      </c>
      <c r="M1456" s="313" t="s">
        <v>20</v>
      </c>
      <c r="N1456" s="580" t="s">
        <v>126</v>
      </c>
    </row>
    <row r="1457" spans="1:14" ht="15.65" hidden="1" customHeight="1" x14ac:dyDescent="0.35">
      <c r="A1457" s="313" t="s">
        <v>200</v>
      </c>
      <c r="B1457" s="313"/>
      <c r="C1457" s="313" t="s">
        <v>1307</v>
      </c>
      <c r="D1457" s="316" t="s">
        <v>28</v>
      </c>
      <c r="E1457" s="150" t="s">
        <v>986</v>
      </c>
      <c r="G1457" s="512">
        <v>29.21</v>
      </c>
      <c r="H1457" s="106">
        <v>34.21</v>
      </c>
      <c r="I1457" s="99"/>
      <c r="J1457" s="169" t="s">
        <v>1308</v>
      </c>
      <c r="K1457" s="267">
        <v>45657</v>
      </c>
      <c r="L1457" s="560" t="s">
        <v>125</v>
      </c>
      <c r="M1457" s="313" t="s">
        <v>20</v>
      </c>
      <c r="N1457" s="580" t="s">
        <v>126</v>
      </c>
    </row>
    <row r="1458" spans="1:14" ht="15.65" hidden="1" customHeight="1" x14ac:dyDescent="0.35">
      <c r="A1458" s="314" t="s">
        <v>1309</v>
      </c>
      <c r="B1458" s="314"/>
      <c r="C1458" s="313" t="s">
        <v>1310</v>
      </c>
      <c r="D1458" s="316" t="s">
        <v>28</v>
      </c>
      <c r="E1458" s="150" t="s">
        <v>986</v>
      </c>
      <c r="G1458" s="512">
        <v>101.05</v>
      </c>
      <c r="H1458" s="106">
        <v>106.05</v>
      </c>
      <c r="I1458" s="99"/>
      <c r="J1458" s="99" t="s">
        <v>1311</v>
      </c>
      <c r="K1458" s="267">
        <v>45657</v>
      </c>
      <c r="L1458" s="560" t="s">
        <v>1312</v>
      </c>
      <c r="M1458" s="313" t="s">
        <v>100</v>
      </c>
      <c r="N1458" s="584" t="s">
        <v>1313</v>
      </c>
    </row>
    <row r="1459" spans="1:14" ht="15.65" hidden="1" customHeight="1" x14ac:dyDescent="0.35">
      <c r="A1459" s="314" t="s">
        <v>1223</v>
      </c>
      <c r="B1459" s="314"/>
      <c r="C1459" s="313" t="s">
        <v>1314</v>
      </c>
      <c r="D1459" s="316" t="s">
        <v>28</v>
      </c>
      <c r="E1459" s="150" t="s">
        <v>986</v>
      </c>
      <c r="G1459" s="515">
        <v>156</v>
      </c>
      <c r="H1459" s="116">
        <v>162</v>
      </c>
      <c r="I1459" s="99"/>
      <c r="J1459" s="99" t="s">
        <v>56</v>
      </c>
      <c r="K1459" s="267">
        <v>45657</v>
      </c>
      <c r="L1459" s="566" t="s">
        <v>1315</v>
      </c>
      <c r="M1459" s="313" t="s">
        <v>100</v>
      </c>
      <c r="N1459" s="580" t="s">
        <v>1316</v>
      </c>
    </row>
    <row r="1460" spans="1:14" ht="15.65" hidden="1" customHeight="1" x14ac:dyDescent="0.35">
      <c r="A1460" s="314" t="s">
        <v>1062</v>
      </c>
      <c r="B1460" s="314"/>
      <c r="C1460" s="313" t="s">
        <v>1317</v>
      </c>
      <c r="D1460" s="316" t="s">
        <v>28</v>
      </c>
      <c r="E1460" s="150" t="s">
        <v>986</v>
      </c>
      <c r="G1460" s="512">
        <v>40.049999999999997</v>
      </c>
      <c r="H1460" s="106">
        <v>45.05</v>
      </c>
      <c r="I1460" s="99"/>
      <c r="J1460" s="99" t="s">
        <v>56</v>
      </c>
      <c r="K1460" s="267">
        <v>45657</v>
      </c>
      <c r="L1460" s="560"/>
      <c r="M1460" s="313" t="s">
        <v>100</v>
      </c>
      <c r="N1460" s="580" t="s">
        <v>1318</v>
      </c>
    </row>
    <row r="1461" spans="1:14" ht="15.65" hidden="1" customHeight="1" x14ac:dyDescent="0.35">
      <c r="A1461" s="447">
        <v>57.08</v>
      </c>
      <c r="B1461" s="447"/>
      <c r="C1461" s="447" t="s">
        <v>1319</v>
      </c>
      <c r="D1461" s="316" t="s">
        <v>28</v>
      </c>
      <c r="E1461" s="150" t="s">
        <v>986</v>
      </c>
      <c r="G1461" s="512"/>
      <c r="H1461" s="106"/>
      <c r="I1461" s="355">
        <v>75</v>
      </c>
      <c r="J1461" s="99" t="s">
        <v>56</v>
      </c>
      <c r="K1461" s="267">
        <v>45657</v>
      </c>
      <c r="L1461" s="572" t="s">
        <v>1320</v>
      </c>
      <c r="M1461" s="313" t="s">
        <v>100</v>
      </c>
      <c r="N1461" s="580" t="s">
        <v>1316</v>
      </c>
    </row>
    <row r="1462" spans="1:14" ht="15.65" hidden="1" customHeight="1" x14ac:dyDescent="0.35">
      <c r="A1462" s="447" t="s">
        <v>1321</v>
      </c>
      <c r="B1462" s="447"/>
      <c r="C1462" s="447" t="s">
        <v>1322</v>
      </c>
      <c r="D1462" s="316" t="s">
        <v>28</v>
      </c>
      <c r="E1462" s="150" t="s">
        <v>986</v>
      </c>
      <c r="F1462" s="488"/>
      <c r="G1462" s="515">
        <v>123</v>
      </c>
      <c r="H1462" s="116">
        <v>129</v>
      </c>
      <c r="I1462" s="99"/>
      <c r="J1462" s="99" t="s">
        <v>56</v>
      </c>
      <c r="K1462" s="267">
        <v>45657</v>
      </c>
      <c r="L1462" s="560"/>
      <c r="M1462" s="313" t="s">
        <v>100</v>
      </c>
      <c r="N1462" s="580" t="s">
        <v>1323</v>
      </c>
    </row>
    <row r="1463" spans="1:14" ht="15.65" hidden="1" customHeight="1" x14ac:dyDescent="0.35">
      <c r="A1463" s="314" t="s">
        <v>801</v>
      </c>
      <c r="B1463" s="314"/>
      <c r="C1463" s="313" t="s">
        <v>802</v>
      </c>
      <c r="D1463" s="316" t="s">
        <v>28</v>
      </c>
      <c r="E1463" s="150" t="s">
        <v>986</v>
      </c>
      <c r="G1463" s="526">
        <v>145</v>
      </c>
      <c r="H1463" s="117">
        <v>151</v>
      </c>
      <c r="I1463" s="190"/>
      <c r="J1463" s="99" t="s">
        <v>56</v>
      </c>
      <c r="K1463" s="267">
        <v>45657</v>
      </c>
      <c r="L1463" s="560"/>
      <c r="M1463" s="313" t="s">
        <v>100</v>
      </c>
      <c r="N1463" s="580" t="s">
        <v>1323</v>
      </c>
    </row>
    <row r="1464" spans="1:14" ht="15.65" hidden="1" customHeight="1" x14ac:dyDescent="0.35">
      <c r="A1464" s="447">
        <v>49.13</v>
      </c>
      <c r="B1464" s="447"/>
      <c r="C1464" s="447" t="s">
        <v>1153</v>
      </c>
      <c r="D1464" s="316" t="s">
        <v>28</v>
      </c>
      <c r="E1464" s="150" t="s">
        <v>986</v>
      </c>
      <c r="F1464" s="498"/>
      <c r="G1464" s="518">
        <v>108.95</v>
      </c>
      <c r="H1464" s="288">
        <v>113.95</v>
      </c>
      <c r="I1464" s="267"/>
      <c r="J1464" s="99" t="s">
        <v>56</v>
      </c>
      <c r="K1464" s="267">
        <v>45657</v>
      </c>
      <c r="L1464" s="570" t="s">
        <v>1324</v>
      </c>
      <c r="M1464" s="313" t="s">
        <v>100</v>
      </c>
      <c r="N1464" s="580" t="s">
        <v>1316</v>
      </c>
    </row>
    <row r="1465" spans="1:14" s="89" customFormat="1" ht="15.65" hidden="1" customHeight="1" x14ac:dyDescent="0.35">
      <c r="A1465" s="454">
        <v>22.557039</v>
      </c>
      <c r="B1465" s="454"/>
      <c r="C1465" s="470" t="s">
        <v>55</v>
      </c>
      <c r="D1465" s="479" t="s">
        <v>28</v>
      </c>
      <c r="E1465" s="211" t="s">
        <v>986</v>
      </c>
      <c r="F1465" s="71"/>
      <c r="G1465" s="528">
        <v>44.7</v>
      </c>
      <c r="H1465" s="536">
        <v>49.7</v>
      </c>
      <c r="I1465" s="382"/>
      <c r="J1465" s="382" t="s">
        <v>1325</v>
      </c>
      <c r="K1465" s="555" t="s">
        <v>1326</v>
      </c>
      <c r="L1465" s="454" t="s">
        <v>1327</v>
      </c>
      <c r="M1465" s="327" t="s">
        <v>20</v>
      </c>
      <c r="N1465" s="454" t="s">
        <v>1328</v>
      </c>
    </row>
    <row r="1466" spans="1:14" ht="15.65" hidden="1" customHeight="1" x14ac:dyDescent="0.35">
      <c r="A1466" s="188" t="s">
        <v>1329</v>
      </c>
      <c r="B1466" s="188"/>
      <c r="C1466" s="99" t="s">
        <v>1330</v>
      </c>
      <c r="D1466" s="150" t="s">
        <v>28</v>
      </c>
      <c r="E1466" s="150" t="s">
        <v>986</v>
      </c>
      <c r="G1466" s="509">
        <v>59.9</v>
      </c>
      <c r="H1466" s="106">
        <v>64.900000000000006</v>
      </c>
      <c r="I1466" s="99"/>
      <c r="J1466" s="99" t="s">
        <v>382</v>
      </c>
      <c r="K1466" s="107">
        <v>45657</v>
      </c>
      <c r="L1466" s="306" t="s">
        <v>1331</v>
      </c>
      <c r="M1466" s="108" t="s">
        <v>100</v>
      </c>
      <c r="N1466" s="108"/>
    </row>
    <row r="1467" spans="1:14" ht="15.65" hidden="1" customHeight="1" x14ac:dyDescent="0.35">
      <c r="A1467" s="101">
        <v>58.07</v>
      </c>
      <c r="B1467" s="101"/>
      <c r="C1467" s="101" t="s">
        <v>927</v>
      </c>
      <c r="D1467" s="168" t="s">
        <v>28</v>
      </c>
      <c r="E1467" s="150" t="s">
        <v>986</v>
      </c>
      <c r="F1467" s="488"/>
      <c r="G1467" s="505">
        <v>24.35</v>
      </c>
      <c r="H1467" s="288">
        <v>29.35</v>
      </c>
      <c r="I1467" s="99"/>
      <c r="J1467" s="99" t="s">
        <v>928</v>
      </c>
      <c r="K1467" s="267">
        <v>45657</v>
      </c>
      <c r="L1467" s="306" t="s">
        <v>1332</v>
      </c>
      <c r="M1467" s="99" t="s">
        <v>20</v>
      </c>
      <c r="N1467" s="108"/>
    </row>
    <row r="1468" spans="1:14" ht="15.65" hidden="1" customHeight="1" x14ac:dyDescent="0.35">
      <c r="A1468" s="101" t="s">
        <v>1192</v>
      </c>
      <c r="B1468" s="101"/>
      <c r="C1468" s="345" t="s">
        <v>1333</v>
      </c>
      <c r="D1468" s="168" t="s">
        <v>28</v>
      </c>
      <c r="E1468" s="150" t="s">
        <v>986</v>
      </c>
      <c r="G1468" s="505">
        <v>26.05</v>
      </c>
      <c r="H1468" s="288">
        <v>31.05</v>
      </c>
      <c r="I1468" s="99"/>
      <c r="J1468" s="99" t="s">
        <v>56</v>
      </c>
      <c r="K1468" s="101" t="s">
        <v>78</v>
      </c>
      <c r="L1468" s="562" t="s">
        <v>1328</v>
      </c>
      <c r="M1468" s="99"/>
      <c r="N1468" s="99" t="s">
        <v>1334</v>
      </c>
    </row>
    <row r="1469" spans="1:14" ht="15.65" hidden="1" customHeight="1" x14ac:dyDescent="0.35">
      <c r="A1469" s="101" t="s">
        <v>550</v>
      </c>
      <c r="B1469" s="101"/>
      <c r="C1469" s="101" t="s">
        <v>976</v>
      </c>
      <c r="D1469" s="168" t="s">
        <v>28</v>
      </c>
      <c r="E1469" s="150" t="s">
        <v>986</v>
      </c>
      <c r="G1469" s="505">
        <v>37.92</v>
      </c>
      <c r="H1469" s="288">
        <v>43.92</v>
      </c>
      <c r="I1469" s="101"/>
      <c r="J1469" s="99" t="s">
        <v>56</v>
      </c>
      <c r="K1469" s="267">
        <v>45657</v>
      </c>
      <c r="L1469" s="306" t="s">
        <v>1335</v>
      </c>
      <c r="M1469" s="99" t="s">
        <v>100</v>
      </c>
      <c r="N1469" s="101" t="s">
        <v>1336</v>
      </c>
    </row>
    <row r="1470" spans="1:14" ht="15.65" hidden="1" customHeight="1" x14ac:dyDescent="0.35">
      <c r="A1470" s="101" t="s">
        <v>445</v>
      </c>
      <c r="B1470" s="101"/>
      <c r="C1470" s="101" t="s">
        <v>1337</v>
      </c>
      <c r="D1470" s="168" t="s">
        <v>28</v>
      </c>
      <c r="E1470" s="150" t="s">
        <v>986</v>
      </c>
      <c r="G1470" s="505">
        <v>55.05</v>
      </c>
      <c r="H1470" s="288">
        <v>61.05</v>
      </c>
      <c r="I1470" s="99"/>
      <c r="J1470" s="99" t="s">
        <v>56</v>
      </c>
      <c r="K1470" s="101" t="s">
        <v>78</v>
      </c>
      <c r="L1470" s="306" t="s">
        <v>1338</v>
      </c>
      <c r="M1470" s="99" t="s">
        <v>100</v>
      </c>
      <c r="N1470" s="101" t="s">
        <v>1339</v>
      </c>
    </row>
    <row r="1471" spans="1:14" ht="15.65" hidden="1" customHeight="1" thickBot="1" x14ac:dyDescent="0.35">
      <c r="A1471" s="101" t="s">
        <v>710</v>
      </c>
      <c r="B1471" s="101"/>
      <c r="C1471" s="101" t="s">
        <v>1340</v>
      </c>
      <c r="D1471" s="168" t="s">
        <v>28</v>
      </c>
      <c r="E1471" s="150" t="s">
        <v>986</v>
      </c>
      <c r="G1471" s="505">
        <v>60.95</v>
      </c>
      <c r="H1471" s="288">
        <v>66.95</v>
      </c>
      <c r="I1471" s="99"/>
      <c r="J1471" s="99" t="s">
        <v>56</v>
      </c>
      <c r="K1471" s="101" t="s">
        <v>78</v>
      </c>
      <c r="L1471" s="306" t="s">
        <v>1341</v>
      </c>
      <c r="M1471" s="99" t="s">
        <v>100</v>
      </c>
      <c r="N1471" s="108"/>
    </row>
    <row r="1472" spans="1:14" ht="14.5" hidden="1" customHeight="1" thickBot="1" x14ac:dyDescent="0.4">
      <c r="A1472" s="101" t="s">
        <v>591</v>
      </c>
      <c r="B1472" s="101"/>
      <c r="C1472" s="101" t="s">
        <v>592</v>
      </c>
      <c r="D1472" s="168" t="s">
        <v>28</v>
      </c>
      <c r="E1472" s="150" t="s">
        <v>986</v>
      </c>
      <c r="F1472" s="499"/>
      <c r="G1472" s="521">
        <v>89</v>
      </c>
      <c r="H1472" s="116">
        <v>95</v>
      </c>
      <c r="I1472" s="99"/>
      <c r="J1472" s="99" t="s">
        <v>56</v>
      </c>
      <c r="K1472" s="101" t="s">
        <v>78</v>
      </c>
      <c r="L1472" s="306" t="s">
        <v>1341</v>
      </c>
      <c r="M1472" s="99" t="s">
        <v>100</v>
      </c>
      <c r="N1472" s="101" t="s">
        <v>1342</v>
      </c>
    </row>
    <row r="1473" spans="1:14" ht="15.65" hidden="1" customHeight="1" thickBot="1" x14ac:dyDescent="0.4">
      <c r="A1473" s="352" t="s">
        <v>63</v>
      </c>
      <c r="B1473" s="352"/>
      <c r="C1473" s="101" t="s">
        <v>64</v>
      </c>
      <c r="D1473" s="168" t="s">
        <v>28</v>
      </c>
      <c r="E1473" s="150" t="s">
        <v>986</v>
      </c>
      <c r="F1473" s="502"/>
      <c r="G1473" s="505">
        <v>36.049999999999997</v>
      </c>
      <c r="H1473" s="288">
        <v>42.05</v>
      </c>
      <c r="I1473" s="350"/>
      <c r="J1473" s="99" t="s">
        <v>56</v>
      </c>
      <c r="K1473" s="101" t="s">
        <v>78</v>
      </c>
      <c r="L1473" s="306" t="s">
        <v>1341</v>
      </c>
      <c r="M1473" s="99" t="s">
        <v>100</v>
      </c>
      <c r="N1473" s="101" t="s">
        <v>21</v>
      </c>
    </row>
    <row r="1474" spans="1:14" ht="15.65" hidden="1" customHeight="1" x14ac:dyDescent="0.35">
      <c r="A1474" s="101" t="s">
        <v>1343</v>
      </c>
      <c r="B1474" s="101"/>
      <c r="C1474" s="101" t="s">
        <v>1344</v>
      </c>
      <c r="D1474" s="168" t="s">
        <v>28</v>
      </c>
      <c r="E1474" s="150" t="s">
        <v>986</v>
      </c>
      <c r="G1474" s="505">
        <v>71.05</v>
      </c>
      <c r="H1474" s="288">
        <v>76.05</v>
      </c>
      <c r="I1474" s="99"/>
      <c r="J1474" s="99" t="s">
        <v>56</v>
      </c>
      <c r="K1474" s="101" t="s">
        <v>78</v>
      </c>
      <c r="L1474" s="306" t="s">
        <v>1345</v>
      </c>
      <c r="M1474" s="99" t="s">
        <v>100</v>
      </c>
      <c r="N1474" s="108"/>
    </row>
    <row r="1475" spans="1:14" ht="15.65" hidden="1" customHeight="1" x14ac:dyDescent="0.35">
      <c r="A1475" s="101" t="s">
        <v>1346</v>
      </c>
      <c r="B1475" s="101"/>
      <c r="C1475" s="101" t="s">
        <v>1347</v>
      </c>
      <c r="D1475" s="168" t="s">
        <v>28</v>
      </c>
      <c r="E1475" s="150" t="s">
        <v>986</v>
      </c>
      <c r="F1475" s="488"/>
      <c r="G1475" s="505">
        <v>48.05</v>
      </c>
      <c r="H1475" s="288">
        <v>54.05</v>
      </c>
      <c r="I1475" s="101"/>
      <c r="J1475" s="350" t="s">
        <v>56</v>
      </c>
      <c r="K1475" s="101" t="s">
        <v>78</v>
      </c>
      <c r="L1475" s="306" t="s">
        <v>1348</v>
      </c>
      <c r="M1475" s="99" t="s">
        <v>100</v>
      </c>
      <c r="N1475" s="101" t="s">
        <v>1349</v>
      </c>
    </row>
    <row r="1476" spans="1:14" ht="15.65" hidden="1" customHeight="1" x14ac:dyDescent="0.35">
      <c r="A1476" s="341" t="s">
        <v>817</v>
      </c>
      <c r="B1476" s="341"/>
      <c r="C1476" s="341" t="s">
        <v>1350</v>
      </c>
      <c r="D1476" s="168" t="s">
        <v>28</v>
      </c>
      <c r="E1476" s="150" t="s">
        <v>986</v>
      </c>
      <c r="F1476" s="504"/>
      <c r="G1476" s="529">
        <v>105</v>
      </c>
      <c r="H1476" s="354">
        <f>G1476+6</f>
        <v>111</v>
      </c>
      <c r="I1476" s="341"/>
      <c r="J1476" s="341" t="s">
        <v>1351</v>
      </c>
      <c r="K1476" s="341" t="s">
        <v>78</v>
      </c>
      <c r="L1476" s="573" t="s">
        <v>1352</v>
      </c>
      <c r="M1476" s="341" t="s">
        <v>401</v>
      </c>
      <c r="N1476" s="356" t="s">
        <v>1353</v>
      </c>
    </row>
    <row r="1477" spans="1:14" ht="15.65" hidden="1" customHeight="1" x14ac:dyDescent="0.35">
      <c r="A1477" s="188" t="s">
        <v>379</v>
      </c>
      <c r="B1477" s="188"/>
      <c r="C1477" s="266" t="s">
        <v>380</v>
      </c>
      <c r="D1477" s="168" t="s">
        <v>28</v>
      </c>
      <c r="E1477" s="150" t="s">
        <v>986</v>
      </c>
      <c r="F1477" s="503"/>
      <c r="G1477" s="510">
        <v>50.35</v>
      </c>
      <c r="H1477" s="106">
        <v>55.35</v>
      </c>
      <c r="I1477" s="107"/>
      <c r="J1477" s="99" t="s">
        <v>382</v>
      </c>
      <c r="K1477" s="107">
        <v>45657</v>
      </c>
      <c r="L1477" s="89" t="s">
        <v>1354</v>
      </c>
      <c r="M1477" s="100" t="s">
        <v>20</v>
      </c>
      <c r="N1477" s="112" t="s">
        <v>1355</v>
      </c>
    </row>
    <row r="1478" spans="1:14" ht="15.65" hidden="1" customHeight="1" x14ac:dyDescent="0.35">
      <c r="A1478" s="188" t="s">
        <v>613</v>
      </c>
      <c r="B1478" s="188"/>
      <c r="C1478" s="99" t="s">
        <v>614</v>
      </c>
      <c r="D1478" s="168" t="s">
        <v>28</v>
      </c>
      <c r="E1478" s="150" t="s">
        <v>986</v>
      </c>
      <c r="F1478" s="490">
        <v>81</v>
      </c>
      <c r="G1478" s="510">
        <v>76</v>
      </c>
      <c r="H1478" s="117">
        <v>81</v>
      </c>
      <c r="I1478" s="99"/>
      <c r="J1478" s="99" t="s">
        <v>376</v>
      </c>
      <c r="K1478" s="107">
        <v>45657</v>
      </c>
      <c r="L1478" s="108" t="s">
        <v>1356</v>
      </c>
      <c r="M1478" s="99" t="s">
        <v>20</v>
      </c>
      <c r="N1478" s="108" t="s">
        <v>920</v>
      </c>
    </row>
    <row r="1479" spans="1:14" ht="15.65" hidden="1" customHeight="1" x14ac:dyDescent="0.35">
      <c r="A1479" s="188" t="s">
        <v>1357</v>
      </c>
      <c r="B1479" s="188"/>
      <c r="C1479" s="99" t="s">
        <v>1358</v>
      </c>
      <c r="D1479" s="168" t="s">
        <v>28</v>
      </c>
      <c r="E1479" s="150" t="s">
        <v>986</v>
      </c>
      <c r="G1479" s="510">
        <v>50</v>
      </c>
      <c r="H1479" s="117">
        <v>56</v>
      </c>
      <c r="I1479" s="99"/>
      <c r="J1479" s="99" t="s">
        <v>56</v>
      </c>
      <c r="K1479" s="107">
        <v>45657</v>
      </c>
      <c r="L1479" s="89" t="s">
        <v>1359</v>
      </c>
      <c r="M1479" s="544" t="s">
        <v>20</v>
      </c>
      <c r="N1479" s="582"/>
    </row>
    <row r="1480" spans="1:14" ht="15.5" hidden="1" customHeight="1" x14ac:dyDescent="0.35">
      <c r="A1480" s="188" t="s">
        <v>1360</v>
      </c>
      <c r="B1480" s="188"/>
      <c r="C1480" s="99" t="s">
        <v>1361</v>
      </c>
      <c r="D1480" s="168" t="s">
        <v>28</v>
      </c>
      <c r="E1480" s="150" t="s">
        <v>986</v>
      </c>
      <c r="G1480" s="510">
        <v>93</v>
      </c>
      <c r="H1480" s="117">
        <f>G1480+6</f>
        <v>99</v>
      </c>
      <c r="I1480" s="99"/>
      <c r="J1480" s="99" t="s">
        <v>56</v>
      </c>
      <c r="K1480" s="107">
        <v>45657</v>
      </c>
      <c r="L1480" s="99" t="s">
        <v>1362</v>
      </c>
      <c r="M1480" s="99" t="s">
        <v>20</v>
      </c>
      <c r="N1480" s="108" t="s">
        <v>1363</v>
      </c>
    </row>
    <row r="1481" spans="1:14" ht="94.5" hidden="1" customHeight="1" x14ac:dyDescent="0.35">
      <c r="A1481" s="188" t="s">
        <v>810</v>
      </c>
      <c r="B1481" s="188"/>
      <c r="C1481" s="99" t="s">
        <v>1364</v>
      </c>
      <c r="D1481" s="168" t="s">
        <v>28</v>
      </c>
      <c r="E1481" s="150" t="s">
        <v>986</v>
      </c>
      <c r="G1481" s="510">
        <v>120</v>
      </c>
      <c r="H1481" s="117">
        <v>126</v>
      </c>
      <c r="I1481" s="99"/>
      <c r="J1481" s="99" t="s">
        <v>56</v>
      </c>
      <c r="K1481" s="107">
        <v>45657</v>
      </c>
      <c r="L1481" s="99" t="s">
        <v>1365</v>
      </c>
      <c r="M1481" s="99" t="s">
        <v>20</v>
      </c>
      <c r="N1481" s="108"/>
    </row>
    <row r="1482" spans="1:14" ht="15.65" hidden="1" customHeight="1" x14ac:dyDescent="0.35">
      <c r="A1482" s="341">
        <v>22.607011</v>
      </c>
      <c r="B1482" s="341"/>
      <c r="C1482" s="341" t="s">
        <v>268</v>
      </c>
      <c r="D1482" s="334" t="s">
        <v>28</v>
      </c>
      <c r="E1482" s="150" t="s">
        <v>986</v>
      </c>
      <c r="F1482" s="496">
        <v>49</v>
      </c>
      <c r="G1482" s="527"/>
      <c r="H1482" s="117">
        <v>48</v>
      </c>
      <c r="I1482" s="99"/>
      <c r="J1482" s="341" t="s">
        <v>1079</v>
      </c>
      <c r="K1482" s="357" t="s">
        <v>1366</v>
      </c>
      <c r="L1482" s="568" t="s">
        <v>1367</v>
      </c>
      <c r="M1482" s="576" t="s">
        <v>1368</v>
      </c>
      <c r="N1482" s="351"/>
    </row>
    <row r="1483" spans="1:14" ht="15" hidden="1" customHeight="1" x14ac:dyDescent="0.35">
      <c r="A1483" s="188" t="s">
        <v>1369</v>
      </c>
      <c r="B1483" s="188"/>
      <c r="C1483" s="99" t="s">
        <v>1370</v>
      </c>
      <c r="D1483" s="168" t="s">
        <v>28</v>
      </c>
      <c r="E1483" s="150" t="s">
        <v>986</v>
      </c>
      <c r="G1483" s="509">
        <v>80</v>
      </c>
      <c r="H1483" s="106">
        <v>86</v>
      </c>
      <c r="I1483" s="99"/>
      <c r="J1483" s="99" t="s">
        <v>56</v>
      </c>
      <c r="K1483" s="107">
        <v>45657</v>
      </c>
      <c r="L1483" s="89" t="s">
        <v>1371</v>
      </c>
      <c r="M1483" s="99" t="s">
        <v>20</v>
      </c>
      <c r="N1483" s="345"/>
    </row>
    <row r="1484" spans="1:14" ht="28" hidden="1" customHeight="1" x14ac:dyDescent="0.35">
      <c r="A1484" s="188" t="s">
        <v>390</v>
      </c>
      <c r="B1484" s="188"/>
      <c r="C1484" s="99" t="s">
        <v>1372</v>
      </c>
      <c r="D1484" s="168" t="s">
        <v>28</v>
      </c>
      <c r="E1484" s="150" t="s">
        <v>986</v>
      </c>
      <c r="G1484" s="509">
        <v>34.049999999999997</v>
      </c>
      <c r="H1484" s="106">
        <v>40.049999999999997</v>
      </c>
      <c r="I1484" s="99"/>
      <c r="J1484" s="99" t="s">
        <v>56</v>
      </c>
      <c r="K1484" s="107">
        <v>45657</v>
      </c>
      <c r="L1484" s="99"/>
      <c r="M1484" s="99" t="s">
        <v>20</v>
      </c>
      <c r="N1484" s="108"/>
    </row>
    <row r="1485" spans="1:14" ht="15.5" hidden="1" customHeight="1" x14ac:dyDescent="0.35">
      <c r="A1485" s="188" t="s">
        <v>651</v>
      </c>
      <c r="B1485" s="188"/>
      <c r="C1485" s="99" t="s">
        <v>652</v>
      </c>
      <c r="D1485" s="168" t="s">
        <v>28</v>
      </c>
      <c r="E1485" s="150" t="s">
        <v>986</v>
      </c>
      <c r="G1485" s="509" t="s">
        <v>1373</v>
      </c>
      <c r="H1485" s="106">
        <v>505.05</v>
      </c>
      <c r="I1485" s="99"/>
      <c r="J1485" s="99" t="s">
        <v>1374</v>
      </c>
      <c r="K1485" s="107">
        <v>45657</v>
      </c>
      <c r="L1485" s="89"/>
      <c r="M1485" s="99" t="s">
        <v>20</v>
      </c>
      <c r="N1485" s="108"/>
    </row>
    <row r="1486" spans="1:14" ht="94.5" hidden="1" customHeight="1" x14ac:dyDescent="0.35">
      <c r="A1486" s="188" t="s">
        <v>829</v>
      </c>
      <c r="B1486" s="188"/>
      <c r="C1486" s="99" t="s">
        <v>830</v>
      </c>
      <c r="D1486" s="168" t="s">
        <v>28</v>
      </c>
      <c r="E1486" s="150" t="s">
        <v>986</v>
      </c>
      <c r="G1486" s="611">
        <v>56</v>
      </c>
      <c r="H1486" s="612">
        <v>62</v>
      </c>
      <c r="I1486" s="358"/>
      <c r="J1486" s="359" t="s">
        <v>1375</v>
      </c>
      <c r="K1486" s="360">
        <v>45657</v>
      </c>
      <c r="L1486" s="556" t="s">
        <v>1376</v>
      </c>
      <c r="M1486" s="361" t="s">
        <v>372</v>
      </c>
      <c r="N1486" s="358" t="s">
        <v>1377</v>
      </c>
    </row>
    <row r="1487" spans="1:14" ht="15.65" hidden="1" customHeight="1" x14ac:dyDescent="0.35">
      <c r="A1487" s="188" t="s">
        <v>479</v>
      </c>
      <c r="B1487" s="188"/>
      <c r="C1487" s="99" t="s">
        <v>480</v>
      </c>
      <c r="D1487" s="168" t="s">
        <v>28</v>
      </c>
      <c r="E1487" s="150" t="s">
        <v>986</v>
      </c>
      <c r="G1487" s="509">
        <v>39.65</v>
      </c>
      <c r="H1487" s="613">
        <v>45.65</v>
      </c>
      <c r="I1487" s="344"/>
      <c r="J1487" s="101" t="s">
        <v>1378</v>
      </c>
      <c r="K1487" s="267">
        <v>45657</v>
      </c>
      <c r="L1487" s="559" t="s">
        <v>1379</v>
      </c>
      <c r="M1487" s="101" t="s">
        <v>1368</v>
      </c>
      <c r="N1487" s="101"/>
    </row>
    <row r="1488" spans="1:14" ht="15.65" hidden="1" customHeight="1" x14ac:dyDescent="0.35">
      <c r="A1488" s="188" t="s">
        <v>1380</v>
      </c>
      <c r="B1488" s="188"/>
      <c r="C1488" s="99" t="s">
        <v>1381</v>
      </c>
      <c r="D1488" s="168" t="s">
        <v>28</v>
      </c>
      <c r="E1488" s="150" t="s">
        <v>986</v>
      </c>
      <c r="G1488" s="510">
        <v>44</v>
      </c>
      <c r="H1488" s="117">
        <v>50</v>
      </c>
      <c r="I1488" s="99"/>
      <c r="J1488" s="101" t="s">
        <v>1378</v>
      </c>
      <c r="K1488" s="267">
        <v>45657</v>
      </c>
      <c r="L1488" s="559" t="s">
        <v>1379</v>
      </c>
      <c r="M1488" s="99" t="s">
        <v>1368</v>
      </c>
      <c r="N1488" s="108" t="s">
        <v>1382</v>
      </c>
    </row>
    <row r="1489" spans="1:14" ht="10.5" hidden="1" x14ac:dyDescent="0.25">
      <c r="A1489" s="188" t="s">
        <v>1383</v>
      </c>
      <c r="B1489" s="188"/>
      <c r="C1489" s="99" t="s">
        <v>1384</v>
      </c>
      <c r="D1489" s="168" t="s">
        <v>28</v>
      </c>
      <c r="E1489" s="150" t="s">
        <v>986</v>
      </c>
      <c r="G1489" s="510">
        <v>26</v>
      </c>
      <c r="H1489" s="117">
        <v>32</v>
      </c>
      <c r="I1489" s="362"/>
      <c r="J1489" s="101" t="s">
        <v>1378</v>
      </c>
      <c r="K1489" s="267">
        <v>45657</v>
      </c>
      <c r="L1489" s="559" t="s">
        <v>1379</v>
      </c>
      <c r="M1489" s="99" t="s">
        <v>1368</v>
      </c>
      <c r="N1489" s="108" t="s">
        <v>1385</v>
      </c>
    </row>
    <row r="1490" spans="1:14" ht="15.65" hidden="1" customHeight="1" x14ac:dyDescent="0.35">
      <c r="A1490" s="101" t="s">
        <v>1386</v>
      </c>
      <c r="B1490" s="101"/>
      <c r="C1490" s="101" t="s">
        <v>1387</v>
      </c>
      <c r="D1490" s="168" t="s">
        <v>28</v>
      </c>
      <c r="E1490" s="150" t="s">
        <v>986</v>
      </c>
      <c r="F1490" s="133"/>
      <c r="G1490" s="505">
        <v>26.05</v>
      </c>
      <c r="H1490" s="288">
        <v>32.049999999999997</v>
      </c>
      <c r="I1490" s="363"/>
      <c r="J1490" s="101" t="s">
        <v>1378</v>
      </c>
      <c r="K1490" s="267">
        <v>45657</v>
      </c>
      <c r="L1490" s="559" t="s">
        <v>1379</v>
      </c>
      <c r="M1490" s="99" t="s">
        <v>1368</v>
      </c>
      <c r="N1490" s="108" t="s">
        <v>1388</v>
      </c>
    </row>
    <row r="1491" spans="1:14" ht="15.65" hidden="1" customHeight="1" x14ac:dyDescent="0.35">
      <c r="A1491" s="344" t="s">
        <v>1389</v>
      </c>
      <c r="B1491" s="344"/>
      <c r="C1491" s="344" t="s">
        <v>1390</v>
      </c>
      <c r="D1491" s="168" t="s">
        <v>28</v>
      </c>
      <c r="E1491" s="150" t="s">
        <v>986</v>
      </c>
      <c r="F1491" s="493"/>
      <c r="G1491" s="505">
        <v>27.95</v>
      </c>
      <c r="H1491" s="288">
        <v>33.950000000000003</v>
      </c>
      <c r="I1491" s="364"/>
      <c r="J1491" s="101" t="s">
        <v>1378</v>
      </c>
      <c r="K1491" s="267">
        <v>45657</v>
      </c>
      <c r="L1491" s="559" t="s">
        <v>1379</v>
      </c>
      <c r="M1491" s="99" t="s">
        <v>1368</v>
      </c>
      <c r="N1491" s="108" t="s">
        <v>1391</v>
      </c>
    </row>
    <row r="1492" spans="1:14" ht="15.65" hidden="1" customHeight="1" x14ac:dyDescent="0.35">
      <c r="A1492" s="188" t="s">
        <v>1392</v>
      </c>
      <c r="B1492" s="188"/>
      <c r="C1492" s="99" t="s">
        <v>1393</v>
      </c>
      <c r="D1492" s="168" t="s">
        <v>28</v>
      </c>
      <c r="E1492" s="150" t="s">
        <v>986</v>
      </c>
      <c r="G1492" s="509">
        <v>62.2</v>
      </c>
      <c r="H1492" s="106">
        <v>68.2</v>
      </c>
      <c r="I1492" s="99"/>
      <c r="J1492" s="101" t="s">
        <v>1378</v>
      </c>
      <c r="K1492" s="267">
        <v>45657</v>
      </c>
      <c r="L1492" s="559" t="s">
        <v>1379</v>
      </c>
      <c r="M1492" s="99" t="s">
        <v>1368</v>
      </c>
      <c r="N1492" s="108"/>
    </row>
    <row r="1493" spans="1:14" ht="15.65" hidden="1" customHeight="1" x14ac:dyDescent="0.35">
      <c r="A1493" s="188" t="s">
        <v>1394</v>
      </c>
      <c r="B1493" s="188"/>
      <c r="C1493" s="99" t="s">
        <v>1395</v>
      </c>
      <c r="D1493" s="168" t="s">
        <v>28</v>
      </c>
      <c r="E1493" s="150" t="s">
        <v>986</v>
      </c>
      <c r="G1493" s="509">
        <v>23.95</v>
      </c>
      <c r="H1493" s="106">
        <v>29.95</v>
      </c>
      <c r="I1493" s="99"/>
      <c r="J1493" s="99" t="s">
        <v>1396</v>
      </c>
      <c r="K1493" s="267">
        <v>45657</v>
      </c>
      <c r="L1493" s="559" t="s">
        <v>1379</v>
      </c>
      <c r="M1493" s="99" t="s">
        <v>20</v>
      </c>
      <c r="N1493" s="108" t="s">
        <v>1397</v>
      </c>
    </row>
    <row r="1494" spans="1:14" ht="15.65" hidden="1" customHeight="1" x14ac:dyDescent="0.35">
      <c r="A1494" s="188" t="s">
        <v>1398</v>
      </c>
      <c r="B1494" s="188"/>
      <c r="C1494" s="99" t="s">
        <v>1399</v>
      </c>
      <c r="D1494" s="168" t="s">
        <v>28</v>
      </c>
      <c r="E1494" s="150" t="s">
        <v>986</v>
      </c>
      <c r="G1494" s="509">
        <v>35.049999999999997</v>
      </c>
      <c r="H1494" s="106">
        <v>41.05</v>
      </c>
      <c r="I1494" s="99"/>
      <c r="J1494" s="99" t="s">
        <v>1400</v>
      </c>
      <c r="K1494" s="107">
        <v>45657</v>
      </c>
      <c r="L1494" s="89" t="s">
        <v>1376</v>
      </c>
      <c r="M1494" s="99" t="s">
        <v>20</v>
      </c>
      <c r="N1494" s="108"/>
    </row>
    <row r="1495" spans="1:14" ht="15.65" hidden="1" customHeight="1" x14ac:dyDescent="0.35">
      <c r="A1495" s="188" t="s">
        <v>768</v>
      </c>
      <c r="B1495" s="188"/>
      <c r="C1495" s="99" t="s">
        <v>1401</v>
      </c>
      <c r="D1495" s="168" t="s">
        <v>28</v>
      </c>
      <c r="E1495" s="150" t="s">
        <v>986</v>
      </c>
      <c r="G1495" s="509">
        <v>49.05</v>
      </c>
      <c r="H1495" s="106">
        <v>55.05</v>
      </c>
      <c r="I1495" s="99"/>
      <c r="J1495" s="99" t="s">
        <v>1400</v>
      </c>
      <c r="K1495" s="107">
        <v>45657</v>
      </c>
      <c r="L1495" s="89" t="s">
        <v>1402</v>
      </c>
      <c r="M1495" s="99" t="s">
        <v>20</v>
      </c>
      <c r="N1495" s="108"/>
    </row>
    <row r="1496" spans="1:14" ht="15.65" hidden="1" customHeight="1" x14ac:dyDescent="0.25">
      <c r="A1496" s="188" t="s">
        <v>1403</v>
      </c>
      <c r="B1496" s="188"/>
      <c r="C1496" s="99" t="s">
        <v>1404</v>
      </c>
      <c r="D1496" s="168" t="s">
        <v>28</v>
      </c>
      <c r="E1496" s="150" t="s">
        <v>986</v>
      </c>
      <c r="G1496" s="614">
        <v>34</v>
      </c>
      <c r="H1496" s="117">
        <v>40</v>
      </c>
      <c r="I1496" s="99"/>
      <c r="J1496" s="99" t="s">
        <v>1400</v>
      </c>
      <c r="K1496" s="107">
        <v>45657</v>
      </c>
      <c r="L1496" s="89" t="s">
        <v>1405</v>
      </c>
      <c r="M1496" s="99" t="s">
        <v>20</v>
      </c>
      <c r="N1496" s="108"/>
    </row>
    <row r="1497" spans="1:14" ht="15.65" hidden="1" customHeight="1" x14ac:dyDescent="0.35">
      <c r="A1497" s="188" t="s">
        <v>1406</v>
      </c>
      <c r="B1497" s="188"/>
      <c r="C1497" s="99" t="s">
        <v>1407</v>
      </c>
      <c r="D1497" s="168" t="s">
        <v>28</v>
      </c>
      <c r="E1497" s="150" t="s">
        <v>986</v>
      </c>
      <c r="G1497" s="509">
        <v>35.049999999999997</v>
      </c>
      <c r="H1497" s="106">
        <v>41.05</v>
      </c>
      <c r="I1497" s="99"/>
      <c r="J1497" s="99" t="s">
        <v>1400</v>
      </c>
      <c r="K1497" s="107">
        <v>45657</v>
      </c>
      <c r="L1497" s="89" t="s">
        <v>1408</v>
      </c>
      <c r="M1497" s="99" t="s">
        <v>20</v>
      </c>
      <c r="N1497" s="108"/>
    </row>
    <row r="1498" spans="1:14" ht="15.65" hidden="1" customHeight="1" x14ac:dyDescent="0.35">
      <c r="A1498" s="188" t="s">
        <v>1409</v>
      </c>
      <c r="B1498" s="188"/>
      <c r="C1498" s="99" t="s">
        <v>1410</v>
      </c>
      <c r="D1498" s="168" t="s">
        <v>28</v>
      </c>
      <c r="E1498" s="150" t="s">
        <v>986</v>
      </c>
      <c r="G1498" s="509"/>
      <c r="H1498" s="106">
        <v>66.05</v>
      </c>
      <c r="I1498" s="99"/>
      <c r="J1498" s="99" t="s">
        <v>1400</v>
      </c>
      <c r="K1498" s="107">
        <v>45657</v>
      </c>
      <c r="L1498" s="89" t="s">
        <v>1408</v>
      </c>
      <c r="M1498" s="99" t="s">
        <v>20</v>
      </c>
      <c r="N1498" s="365" t="s">
        <v>1411</v>
      </c>
    </row>
    <row r="1499" spans="1:14" ht="15.65" hidden="1" customHeight="1" x14ac:dyDescent="0.35">
      <c r="A1499" s="188" t="s">
        <v>1412</v>
      </c>
      <c r="B1499" s="188"/>
      <c r="C1499" s="99" t="s">
        <v>1413</v>
      </c>
      <c r="D1499" s="168" t="s">
        <v>28</v>
      </c>
      <c r="E1499" s="150" t="s">
        <v>986</v>
      </c>
      <c r="G1499" s="509">
        <v>50.05</v>
      </c>
      <c r="H1499" s="106">
        <v>56.05</v>
      </c>
      <c r="I1499" s="99"/>
      <c r="J1499" s="99" t="s">
        <v>1400</v>
      </c>
      <c r="K1499" s="107">
        <v>45657</v>
      </c>
      <c r="L1499" s="89" t="s">
        <v>1408</v>
      </c>
      <c r="M1499" s="99"/>
      <c r="N1499" s="108" t="s">
        <v>1414</v>
      </c>
    </row>
    <row r="1500" spans="1:14" ht="15.65" hidden="1" customHeight="1" x14ac:dyDescent="0.25">
      <c r="A1500" s="102" t="s">
        <v>721</v>
      </c>
      <c r="B1500" s="102"/>
      <c r="C1500" s="291" t="s">
        <v>717</v>
      </c>
      <c r="D1500" s="168" t="s">
        <v>28</v>
      </c>
      <c r="E1500" s="150" t="s">
        <v>986</v>
      </c>
      <c r="F1500" s="492">
        <v>69.150000000000006</v>
      </c>
      <c r="G1500" s="509">
        <v>30.05</v>
      </c>
      <c r="H1500" s="106">
        <v>36.049999999999997</v>
      </c>
      <c r="I1500" s="107"/>
      <c r="J1500" s="99" t="s">
        <v>19</v>
      </c>
      <c r="K1500" s="182">
        <v>45657</v>
      </c>
      <c r="L1500" s="561"/>
      <c r="M1500" s="99" t="s">
        <v>20</v>
      </c>
      <c r="N1500" s="345"/>
    </row>
    <row r="1501" spans="1:14" ht="15.65" hidden="1" customHeight="1" x14ac:dyDescent="0.35">
      <c r="A1501" s="188" t="s">
        <v>1415</v>
      </c>
      <c r="B1501" s="188"/>
      <c r="C1501" s="99" t="s">
        <v>1416</v>
      </c>
      <c r="D1501" s="168" t="s">
        <v>28</v>
      </c>
      <c r="E1501" s="150" t="s">
        <v>986</v>
      </c>
      <c r="G1501" s="509">
        <v>30.3</v>
      </c>
      <c r="H1501" s="106">
        <v>36.299999999999997</v>
      </c>
      <c r="I1501" s="107"/>
      <c r="J1501" s="99" t="s">
        <v>19</v>
      </c>
      <c r="K1501" s="182">
        <v>45657</v>
      </c>
      <c r="L1501" s="561"/>
      <c r="M1501" s="99" t="s">
        <v>20</v>
      </c>
      <c r="N1501" s="345"/>
    </row>
    <row r="1502" spans="1:14" ht="15.65" hidden="1" customHeight="1" x14ac:dyDescent="0.35">
      <c r="A1502" s="188" t="s">
        <v>594</v>
      </c>
      <c r="B1502" s="188"/>
      <c r="C1502" s="99" t="s">
        <v>595</v>
      </c>
      <c r="D1502" s="168" t="s">
        <v>28</v>
      </c>
      <c r="E1502" s="150" t="s">
        <v>986</v>
      </c>
      <c r="G1502" s="509">
        <v>79.95</v>
      </c>
      <c r="H1502" s="106">
        <v>85.95</v>
      </c>
      <c r="I1502" s="99"/>
      <c r="J1502" s="99" t="s">
        <v>19</v>
      </c>
      <c r="K1502" s="182">
        <v>45657</v>
      </c>
      <c r="L1502" s="561"/>
      <c r="M1502" s="99" t="s">
        <v>20</v>
      </c>
      <c r="N1502" s="108"/>
    </row>
    <row r="1503" spans="1:14" ht="15.65" hidden="1" customHeight="1" x14ac:dyDescent="0.35">
      <c r="A1503" s="188" t="s">
        <v>1417</v>
      </c>
      <c r="B1503" s="188"/>
      <c r="C1503" s="99" t="s">
        <v>1418</v>
      </c>
      <c r="D1503" s="168" t="s">
        <v>28</v>
      </c>
      <c r="E1503" s="150" t="s">
        <v>986</v>
      </c>
      <c r="G1503" s="509">
        <v>63.05</v>
      </c>
      <c r="H1503" s="106">
        <v>69.05</v>
      </c>
      <c r="I1503" s="99"/>
      <c r="J1503" s="99" t="s">
        <v>19</v>
      </c>
      <c r="K1503" s="107">
        <v>45657</v>
      </c>
      <c r="L1503" s="89"/>
      <c r="M1503" s="99" t="s">
        <v>20</v>
      </c>
      <c r="N1503" s="108"/>
    </row>
    <row r="1504" spans="1:14" ht="15.65" hidden="1" customHeight="1" x14ac:dyDescent="0.35">
      <c r="A1504" s="188" t="s">
        <v>797</v>
      </c>
      <c r="B1504" s="188"/>
      <c r="C1504" s="99" t="s">
        <v>1419</v>
      </c>
      <c r="D1504" s="168" t="s">
        <v>28</v>
      </c>
      <c r="E1504" s="150" t="s">
        <v>986</v>
      </c>
      <c r="G1504" s="520">
        <v>103</v>
      </c>
      <c r="H1504" s="366">
        <v>109</v>
      </c>
      <c r="I1504" s="99"/>
      <c r="J1504" s="99" t="s">
        <v>19</v>
      </c>
      <c r="K1504" s="107">
        <v>45657</v>
      </c>
      <c r="L1504" s="89"/>
      <c r="M1504" s="99" t="s">
        <v>20</v>
      </c>
      <c r="N1504" s="108"/>
    </row>
    <row r="1505" spans="1:14" ht="15.65" hidden="1" customHeight="1" x14ac:dyDescent="0.35">
      <c r="A1505" s="188" t="s">
        <v>503</v>
      </c>
      <c r="B1505" s="188"/>
      <c r="C1505" s="99" t="s">
        <v>1420</v>
      </c>
      <c r="D1505" s="168" t="s">
        <v>28</v>
      </c>
      <c r="E1505" s="150" t="s">
        <v>986</v>
      </c>
      <c r="G1505" s="509">
        <v>36.950000000000003</v>
      </c>
      <c r="H1505" s="106">
        <v>42.95</v>
      </c>
      <c r="I1505" s="99"/>
      <c r="J1505" s="99" t="s">
        <v>19</v>
      </c>
      <c r="K1505" s="107">
        <v>45657</v>
      </c>
      <c r="L1505" s="89"/>
      <c r="M1505" s="99" t="s">
        <v>20</v>
      </c>
      <c r="N1505" s="108"/>
    </row>
    <row r="1506" spans="1:14" ht="15.65" hidden="1" customHeight="1" x14ac:dyDescent="0.35">
      <c r="A1506" s="353" t="s">
        <v>705</v>
      </c>
      <c r="B1506" s="353"/>
      <c r="C1506" s="341" t="s">
        <v>706</v>
      </c>
      <c r="D1506" s="168" t="s">
        <v>28</v>
      </c>
      <c r="E1506" s="150" t="s">
        <v>986</v>
      </c>
      <c r="G1506" s="531">
        <v>174</v>
      </c>
      <c r="H1506" s="367">
        <v>180</v>
      </c>
      <c r="I1506" s="341"/>
      <c r="J1506" s="341" t="s">
        <v>19</v>
      </c>
      <c r="K1506" s="368">
        <v>45657</v>
      </c>
      <c r="L1506" s="568"/>
      <c r="M1506" s="341" t="s">
        <v>20</v>
      </c>
      <c r="N1506" s="369" t="s">
        <v>1421</v>
      </c>
    </row>
    <row r="1507" spans="1:14" ht="15.65" hidden="1" customHeight="1" x14ac:dyDescent="0.35">
      <c r="A1507" s="353" t="s">
        <v>1424</v>
      </c>
      <c r="B1507" s="353"/>
      <c r="C1507" s="341" t="s">
        <v>1425</v>
      </c>
      <c r="D1507" s="168" t="s">
        <v>28</v>
      </c>
      <c r="E1507" s="150" t="s">
        <v>986</v>
      </c>
      <c r="G1507" s="527">
        <v>161.05000000000001</v>
      </c>
      <c r="H1507" s="370">
        <v>167.05</v>
      </c>
      <c r="I1507" s="341"/>
      <c r="J1507" s="341" t="s">
        <v>19</v>
      </c>
      <c r="K1507" s="368">
        <v>45657</v>
      </c>
      <c r="L1507" s="568" t="s">
        <v>1426</v>
      </c>
      <c r="M1507" s="341" t="s">
        <v>20</v>
      </c>
      <c r="N1507" s="369" t="s">
        <v>1421</v>
      </c>
    </row>
    <row r="1508" spans="1:14" ht="15.65" hidden="1" customHeight="1" x14ac:dyDescent="0.35">
      <c r="A1508" s="188" t="s">
        <v>84</v>
      </c>
      <c r="B1508" s="188"/>
      <c r="C1508" s="77" t="s">
        <v>85</v>
      </c>
      <c r="D1508" s="78" t="s">
        <v>1443</v>
      </c>
      <c r="E1508" s="150" t="s">
        <v>986</v>
      </c>
      <c r="F1508" s="97"/>
      <c r="G1508" s="519">
        <v>60.05</v>
      </c>
      <c r="H1508" s="92">
        <v>65.05</v>
      </c>
      <c r="I1508" s="77"/>
      <c r="J1508" s="77" t="s">
        <v>56</v>
      </c>
      <c r="K1508" s="93">
        <v>45657</v>
      </c>
      <c r="L1508" s="97" t="s">
        <v>1444</v>
      </c>
      <c r="M1508" s="77" t="s">
        <v>20</v>
      </c>
      <c r="N1508" s="94"/>
    </row>
    <row r="1509" spans="1:14" ht="15.65" hidden="1" customHeight="1" x14ac:dyDescent="0.35">
      <c r="A1509" s="188" t="s">
        <v>862</v>
      </c>
      <c r="B1509" s="188"/>
      <c r="C1509" s="99" t="s">
        <v>804</v>
      </c>
      <c r="D1509" s="78" t="s">
        <v>1443</v>
      </c>
      <c r="E1509" s="150" t="s">
        <v>986</v>
      </c>
      <c r="G1509" s="509">
        <v>223.35</v>
      </c>
      <c r="H1509" s="106">
        <v>228.35</v>
      </c>
      <c r="I1509" s="99"/>
      <c r="J1509" s="99" t="s">
        <v>56</v>
      </c>
      <c r="K1509" s="107">
        <v>45657</v>
      </c>
      <c r="L1509" s="571" t="s">
        <v>1327</v>
      </c>
      <c r="M1509" s="99" t="s">
        <v>20</v>
      </c>
      <c r="N1509" s="108" t="s">
        <v>1445</v>
      </c>
    </row>
    <row r="1510" spans="1:14" ht="15.65" hidden="1" customHeight="1" x14ac:dyDescent="0.25">
      <c r="A1510" s="99" t="s">
        <v>121</v>
      </c>
      <c r="B1510" s="99"/>
      <c r="C1510" s="99" t="s">
        <v>122</v>
      </c>
      <c r="D1510" s="78" t="s">
        <v>1443</v>
      </c>
      <c r="E1510" s="150" t="s">
        <v>986</v>
      </c>
      <c r="G1510" s="508" t="s">
        <v>123</v>
      </c>
      <c r="H1510" s="109" t="s">
        <v>124</v>
      </c>
      <c r="I1510" s="99"/>
      <c r="J1510" s="99" t="s">
        <v>56</v>
      </c>
      <c r="K1510" s="107">
        <v>45657</v>
      </c>
      <c r="L1510" s="89" t="s">
        <v>1446</v>
      </c>
      <c r="M1510" s="99" t="s">
        <v>20</v>
      </c>
      <c r="N1510" s="108"/>
    </row>
    <row r="1511" spans="1:14" ht="15.65" hidden="1" customHeight="1" x14ac:dyDescent="0.25">
      <c r="A1511" s="99" t="s">
        <v>127</v>
      </c>
      <c r="B1511" s="99"/>
      <c r="C1511" s="99" t="s">
        <v>128</v>
      </c>
      <c r="D1511" s="78" t="s">
        <v>1443</v>
      </c>
      <c r="E1511" s="150" t="s">
        <v>986</v>
      </c>
      <c r="G1511" s="508" t="s">
        <v>129</v>
      </c>
      <c r="H1511" s="109" t="s">
        <v>130</v>
      </c>
      <c r="I1511" s="99"/>
      <c r="J1511" s="99" t="s">
        <v>56</v>
      </c>
      <c r="K1511" s="107">
        <v>45657</v>
      </c>
      <c r="L1511" s="89" t="s">
        <v>1446</v>
      </c>
      <c r="M1511" s="99" t="s">
        <v>20</v>
      </c>
      <c r="N1511" s="108"/>
    </row>
    <row r="1512" spans="1:14" ht="15.65" hidden="1" customHeight="1" x14ac:dyDescent="0.25">
      <c r="A1512" s="99" t="s">
        <v>131</v>
      </c>
      <c r="B1512" s="99"/>
      <c r="C1512" s="99" t="s">
        <v>122</v>
      </c>
      <c r="D1512" s="78" t="s">
        <v>1443</v>
      </c>
      <c r="E1512" s="150" t="s">
        <v>986</v>
      </c>
      <c r="G1512" s="508" t="s">
        <v>132</v>
      </c>
      <c r="H1512" s="109" t="s">
        <v>133</v>
      </c>
      <c r="I1512" s="99"/>
      <c r="J1512" s="99" t="s">
        <v>56</v>
      </c>
      <c r="K1512" s="107">
        <v>45657</v>
      </c>
      <c r="L1512" s="89" t="s">
        <v>1446</v>
      </c>
      <c r="M1512" s="99" t="s">
        <v>20</v>
      </c>
      <c r="N1512" s="108"/>
    </row>
    <row r="1513" spans="1:14" ht="15.65" hidden="1" customHeight="1" x14ac:dyDescent="0.25">
      <c r="A1513" s="99" t="s">
        <v>134</v>
      </c>
      <c r="B1513" s="99"/>
      <c r="C1513" s="99" t="s">
        <v>135</v>
      </c>
      <c r="D1513" s="78" t="s">
        <v>1443</v>
      </c>
      <c r="E1513" s="150" t="s">
        <v>986</v>
      </c>
      <c r="G1513" s="508" t="s">
        <v>136</v>
      </c>
      <c r="H1513" s="109" t="s">
        <v>137</v>
      </c>
      <c r="I1513" s="99"/>
      <c r="J1513" s="99" t="s">
        <v>56</v>
      </c>
      <c r="K1513" s="107">
        <v>45657</v>
      </c>
      <c r="L1513" s="89" t="s">
        <v>1446</v>
      </c>
      <c r="M1513" s="99" t="s">
        <v>20</v>
      </c>
      <c r="N1513" s="108"/>
    </row>
    <row r="1514" spans="1:14" ht="15.65" hidden="1" customHeight="1" x14ac:dyDescent="0.25">
      <c r="A1514" s="99" t="s">
        <v>138</v>
      </c>
      <c r="B1514" s="99"/>
      <c r="C1514" s="99" t="s">
        <v>139</v>
      </c>
      <c r="D1514" s="78" t="s">
        <v>1443</v>
      </c>
      <c r="E1514" s="150" t="s">
        <v>986</v>
      </c>
      <c r="G1514" s="508" t="s">
        <v>140</v>
      </c>
      <c r="H1514" s="109" t="s">
        <v>141</v>
      </c>
      <c r="I1514" s="99"/>
      <c r="J1514" s="99" t="s">
        <v>56</v>
      </c>
      <c r="K1514" s="107">
        <v>45657</v>
      </c>
      <c r="L1514" s="89" t="s">
        <v>1446</v>
      </c>
      <c r="M1514" s="99" t="s">
        <v>20</v>
      </c>
      <c r="N1514" s="108"/>
    </row>
    <row r="1515" spans="1:14" ht="15.65" hidden="1" customHeight="1" x14ac:dyDescent="0.25">
      <c r="A1515" s="99" t="s">
        <v>142</v>
      </c>
      <c r="B1515" s="99"/>
      <c r="C1515" s="99" t="s">
        <v>143</v>
      </c>
      <c r="D1515" s="78" t="s">
        <v>1443</v>
      </c>
      <c r="E1515" s="150" t="s">
        <v>986</v>
      </c>
      <c r="F1515" s="491" t="s">
        <v>986</v>
      </c>
      <c r="G1515" s="508" t="s">
        <v>1447</v>
      </c>
      <c r="H1515" s="109" t="s">
        <v>1448</v>
      </c>
      <c r="I1515" s="99"/>
      <c r="J1515" s="99" t="s">
        <v>56</v>
      </c>
      <c r="K1515" s="107">
        <v>45657</v>
      </c>
      <c r="L1515" s="89" t="s">
        <v>1449</v>
      </c>
      <c r="M1515" s="99" t="s">
        <v>20</v>
      </c>
      <c r="N1515" s="108"/>
    </row>
    <row r="1516" spans="1:14" ht="15.65" hidden="1" customHeight="1" x14ac:dyDescent="0.25">
      <c r="A1516" s="99" t="s">
        <v>146</v>
      </c>
      <c r="B1516" s="99"/>
      <c r="C1516" s="99" t="s">
        <v>147</v>
      </c>
      <c r="D1516" s="78" t="s">
        <v>1443</v>
      </c>
      <c r="E1516" s="150" t="s">
        <v>986</v>
      </c>
      <c r="G1516" s="508" t="s">
        <v>148</v>
      </c>
      <c r="H1516" s="109" t="s">
        <v>149</v>
      </c>
      <c r="I1516" s="99"/>
      <c r="J1516" s="99" t="s">
        <v>56</v>
      </c>
      <c r="K1516" s="107">
        <v>45657</v>
      </c>
      <c r="L1516" s="89" t="s">
        <v>1446</v>
      </c>
      <c r="M1516" s="99" t="s">
        <v>20</v>
      </c>
      <c r="N1516" s="108"/>
    </row>
    <row r="1517" spans="1:14" ht="15.65" hidden="1" customHeight="1" x14ac:dyDescent="0.25">
      <c r="A1517" s="340" t="s">
        <v>150</v>
      </c>
      <c r="B1517" s="340"/>
      <c r="C1517" s="99" t="s">
        <v>143</v>
      </c>
      <c r="D1517" s="78" t="s">
        <v>1443</v>
      </c>
      <c r="E1517" s="150" t="s">
        <v>986</v>
      </c>
      <c r="G1517" s="508" t="s">
        <v>151</v>
      </c>
      <c r="H1517" s="109" t="s">
        <v>152</v>
      </c>
      <c r="I1517" s="99"/>
      <c r="J1517" s="99" t="s">
        <v>56</v>
      </c>
      <c r="K1517" s="107">
        <v>45657</v>
      </c>
      <c r="L1517" s="89" t="s">
        <v>1446</v>
      </c>
      <c r="M1517" s="99" t="s">
        <v>20</v>
      </c>
      <c r="N1517" s="108"/>
    </row>
    <row r="1518" spans="1:14" ht="15.65" hidden="1" customHeight="1" x14ac:dyDescent="0.25">
      <c r="A1518" s="99" t="s">
        <v>153</v>
      </c>
      <c r="B1518" s="99"/>
      <c r="C1518" s="99" t="s">
        <v>154</v>
      </c>
      <c r="D1518" s="78" t="s">
        <v>1443</v>
      </c>
      <c r="E1518" s="150" t="s">
        <v>986</v>
      </c>
      <c r="G1518" s="508" t="s">
        <v>155</v>
      </c>
      <c r="H1518" s="109" t="s">
        <v>156</v>
      </c>
      <c r="I1518" s="99"/>
      <c r="J1518" s="99" t="s">
        <v>56</v>
      </c>
      <c r="K1518" s="107">
        <v>45657</v>
      </c>
      <c r="L1518" s="89" t="s">
        <v>1446</v>
      </c>
      <c r="M1518" s="99" t="s">
        <v>20</v>
      </c>
      <c r="N1518" s="108"/>
    </row>
    <row r="1519" spans="1:14" ht="15.65" hidden="1" customHeight="1" x14ac:dyDescent="0.25">
      <c r="A1519" s="99" t="s">
        <v>157</v>
      </c>
      <c r="B1519" s="99"/>
      <c r="C1519" s="99" t="s">
        <v>158</v>
      </c>
      <c r="D1519" s="78" t="s">
        <v>1443</v>
      </c>
      <c r="E1519" s="150" t="s">
        <v>986</v>
      </c>
      <c r="G1519" s="508" t="s">
        <v>159</v>
      </c>
      <c r="H1519" s="109" t="s">
        <v>160</v>
      </c>
      <c r="I1519" s="99"/>
      <c r="J1519" s="99" t="s">
        <v>56</v>
      </c>
      <c r="K1519" s="107">
        <v>45657</v>
      </c>
      <c r="L1519" s="89" t="s">
        <v>1446</v>
      </c>
      <c r="M1519" s="99" t="s">
        <v>20</v>
      </c>
      <c r="N1519" s="108"/>
    </row>
    <row r="1520" spans="1:14" ht="15.65" hidden="1" customHeight="1" x14ac:dyDescent="0.25">
      <c r="A1520" s="340" t="s">
        <v>161</v>
      </c>
      <c r="B1520" s="340"/>
      <c r="C1520" s="99" t="s">
        <v>162</v>
      </c>
      <c r="D1520" s="78" t="s">
        <v>1443</v>
      </c>
      <c r="E1520" s="150" t="s">
        <v>986</v>
      </c>
      <c r="G1520" s="508" t="s">
        <v>163</v>
      </c>
      <c r="H1520" s="109" t="s">
        <v>164</v>
      </c>
      <c r="I1520" s="99"/>
      <c r="J1520" s="99" t="s">
        <v>56</v>
      </c>
      <c r="K1520" s="107">
        <v>45657</v>
      </c>
      <c r="L1520" s="89" t="s">
        <v>1446</v>
      </c>
      <c r="M1520" s="99" t="s">
        <v>20</v>
      </c>
      <c r="N1520" s="108"/>
    </row>
    <row r="1521" spans="1:14" ht="15.65" hidden="1" customHeight="1" x14ac:dyDescent="0.25">
      <c r="A1521" s="340" t="s">
        <v>165</v>
      </c>
      <c r="B1521" s="340"/>
      <c r="C1521" s="99" t="s">
        <v>162</v>
      </c>
      <c r="D1521" s="78" t="s">
        <v>1443</v>
      </c>
      <c r="E1521" s="150" t="s">
        <v>986</v>
      </c>
      <c r="G1521" s="508" t="s">
        <v>166</v>
      </c>
      <c r="H1521" s="109" t="s">
        <v>167</v>
      </c>
      <c r="I1521" s="99"/>
      <c r="J1521" s="99" t="s">
        <v>56</v>
      </c>
      <c r="K1521" s="107">
        <v>45657</v>
      </c>
      <c r="L1521" s="89" t="s">
        <v>1446</v>
      </c>
      <c r="M1521" s="99" t="s">
        <v>20</v>
      </c>
      <c r="N1521" s="108"/>
    </row>
    <row r="1522" spans="1:14" ht="15.65" hidden="1" customHeight="1" x14ac:dyDescent="0.25">
      <c r="A1522" s="99" t="s">
        <v>168</v>
      </c>
      <c r="B1522" s="99"/>
      <c r="C1522" s="99" t="s">
        <v>169</v>
      </c>
      <c r="D1522" s="78" t="s">
        <v>1443</v>
      </c>
      <c r="E1522" s="150" t="s">
        <v>986</v>
      </c>
      <c r="G1522" s="508" t="s">
        <v>170</v>
      </c>
      <c r="H1522" s="109" t="s">
        <v>171</v>
      </c>
      <c r="I1522" s="99"/>
      <c r="J1522" s="99" t="s">
        <v>56</v>
      </c>
      <c r="K1522" s="107">
        <v>45657</v>
      </c>
      <c r="L1522" s="89" t="s">
        <v>1446</v>
      </c>
      <c r="M1522" s="99" t="s">
        <v>20</v>
      </c>
      <c r="N1522" s="108"/>
    </row>
    <row r="1523" spans="1:14" ht="15.65" hidden="1" customHeight="1" x14ac:dyDescent="0.25">
      <c r="A1523" s="340" t="s">
        <v>172</v>
      </c>
      <c r="B1523" s="340"/>
      <c r="C1523" s="99" t="s">
        <v>173</v>
      </c>
      <c r="D1523" s="78" t="s">
        <v>1443</v>
      </c>
      <c r="E1523" s="150" t="s">
        <v>986</v>
      </c>
      <c r="G1523" s="508" t="s">
        <v>174</v>
      </c>
      <c r="H1523" s="109" t="s">
        <v>175</v>
      </c>
      <c r="I1523" s="99"/>
      <c r="J1523" s="99" t="s">
        <v>56</v>
      </c>
      <c r="K1523" s="107">
        <v>45657</v>
      </c>
      <c r="L1523" s="89" t="s">
        <v>1446</v>
      </c>
      <c r="M1523" s="99" t="s">
        <v>20</v>
      </c>
      <c r="N1523" s="108"/>
    </row>
    <row r="1524" spans="1:14" ht="15.65" hidden="1" customHeight="1" x14ac:dyDescent="0.25">
      <c r="A1524" s="99" t="s">
        <v>176</v>
      </c>
      <c r="B1524" s="99"/>
      <c r="C1524" s="99" t="s">
        <v>177</v>
      </c>
      <c r="D1524" s="78" t="s">
        <v>1443</v>
      </c>
      <c r="E1524" s="150" t="s">
        <v>986</v>
      </c>
      <c r="G1524" s="508" t="s">
        <v>178</v>
      </c>
      <c r="H1524" s="109" t="s">
        <v>179</v>
      </c>
      <c r="I1524" s="99"/>
      <c r="J1524" s="99" t="s">
        <v>56</v>
      </c>
      <c r="K1524" s="107">
        <v>45657</v>
      </c>
      <c r="L1524" s="89" t="s">
        <v>1446</v>
      </c>
      <c r="M1524" s="99" t="s">
        <v>20</v>
      </c>
      <c r="N1524" s="108"/>
    </row>
    <row r="1525" spans="1:14" ht="15.65" hidden="1" customHeight="1" x14ac:dyDescent="0.25">
      <c r="A1525" s="99" t="s">
        <v>180</v>
      </c>
      <c r="B1525" s="99"/>
      <c r="C1525" s="99" t="s">
        <v>181</v>
      </c>
      <c r="D1525" s="78" t="s">
        <v>1443</v>
      </c>
      <c r="E1525" s="150" t="s">
        <v>986</v>
      </c>
      <c r="G1525" s="508" t="s">
        <v>182</v>
      </c>
      <c r="H1525" s="109" t="s">
        <v>183</v>
      </c>
      <c r="I1525" s="99"/>
      <c r="J1525" s="99" t="s">
        <v>56</v>
      </c>
      <c r="K1525" s="107">
        <v>45657</v>
      </c>
      <c r="L1525" s="89" t="s">
        <v>1446</v>
      </c>
      <c r="M1525" s="99" t="s">
        <v>20</v>
      </c>
      <c r="N1525" s="108"/>
    </row>
    <row r="1526" spans="1:14" ht="15.65" hidden="1" customHeight="1" x14ac:dyDescent="0.25">
      <c r="A1526" s="99" t="s">
        <v>184</v>
      </c>
      <c r="B1526" s="99"/>
      <c r="C1526" s="99" t="s">
        <v>185</v>
      </c>
      <c r="D1526" s="78" t="s">
        <v>1443</v>
      </c>
      <c r="E1526" s="150" t="s">
        <v>986</v>
      </c>
      <c r="G1526" s="508" t="s">
        <v>186</v>
      </c>
      <c r="H1526" s="109" t="s">
        <v>187</v>
      </c>
      <c r="I1526" s="99"/>
      <c r="J1526" s="99" t="s">
        <v>56</v>
      </c>
      <c r="K1526" s="107">
        <v>45657</v>
      </c>
      <c r="L1526" s="89" t="s">
        <v>1446</v>
      </c>
      <c r="M1526" s="99" t="s">
        <v>20</v>
      </c>
      <c r="N1526" s="108"/>
    </row>
    <row r="1527" spans="1:14" s="113" customFormat="1" ht="10.5" hidden="1" x14ac:dyDescent="0.25">
      <c r="A1527" s="340" t="s">
        <v>188</v>
      </c>
      <c r="B1527" s="340"/>
      <c r="C1527" s="99" t="s">
        <v>189</v>
      </c>
      <c r="D1527" s="78" t="s">
        <v>1443</v>
      </c>
      <c r="E1527" s="150" t="s">
        <v>986</v>
      </c>
      <c r="F1527" s="71"/>
      <c r="G1527" s="508" t="s">
        <v>190</v>
      </c>
      <c r="H1527" s="109" t="s">
        <v>191</v>
      </c>
      <c r="I1527" s="99"/>
      <c r="J1527" s="99" t="s">
        <v>56</v>
      </c>
      <c r="K1527" s="107">
        <v>45657</v>
      </c>
      <c r="L1527" s="89" t="s">
        <v>1446</v>
      </c>
      <c r="M1527" s="99" t="s">
        <v>20</v>
      </c>
      <c r="N1527" s="108"/>
    </row>
    <row r="1528" spans="1:14" ht="15.65" hidden="1" customHeight="1" x14ac:dyDescent="0.25">
      <c r="A1528" s="340" t="s">
        <v>192</v>
      </c>
      <c r="B1528" s="340"/>
      <c r="C1528" s="99" t="s">
        <v>193</v>
      </c>
      <c r="D1528" s="78" t="s">
        <v>1443</v>
      </c>
      <c r="E1528" s="150" t="s">
        <v>986</v>
      </c>
      <c r="G1528" s="508" t="s">
        <v>194</v>
      </c>
      <c r="H1528" s="109" t="s">
        <v>195</v>
      </c>
      <c r="I1528" s="99"/>
      <c r="J1528" s="99" t="s">
        <v>56</v>
      </c>
      <c r="K1528" s="107">
        <v>45657</v>
      </c>
      <c r="L1528" s="89" t="s">
        <v>1446</v>
      </c>
      <c r="M1528" s="99" t="s">
        <v>20</v>
      </c>
      <c r="N1528" s="108"/>
    </row>
    <row r="1529" spans="1:14" ht="15.65" hidden="1" customHeight="1" x14ac:dyDescent="0.25">
      <c r="A1529" s="99" t="s">
        <v>196</v>
      </c>
      <c r="B1529" s="99"/>
      <c r="C1529" s="99" t="s">
        <v>197</v>
      </c>
      <c r="D1529" s="78" t="s">
        <v>1443</v>
      </c>
      <c r="E1529" s="150" t="s">
        <v>986</v>
      </c>
      <c r="G1529" s="508" t="s">
        <v>198</v>
      </c>
      <c r="H1529" s="109" t="s">
        <v>199</v>
      </c>
      <c r="I1529" s="99"/>
      <c r="J1529" s="99" t="s">
        <v>56</v>
      </c>
      <c r="K1529" s="107">
        <v>45657</v>
      </c>
      <c r="L1529" s="89" t="s">
        <v>1446</v>
      </c>
      <c r="M1529" s="99" t="s">
        <v>20</v>
      </c>
      <c r="N1529" s="108"/>
    </row>
    <row r="1530" spans="1:14" ht="15.65" hidden="1" customHeight="1" x14ac:dyDescent="0.25">
      <c r="A1530" s="99" t="s">
        <v>200</v>
      </c>
      <c r="B1530" s="99"/>
      <c r="C1530" s="99" t="s">
        <v>201</v>
      </c>
      <c r="D1530" s="78" t="s">
        <v>1443</v>
      </c>
      <c r="E1530" s="150" t="s">
        <v>986</v>
      </c>
      <c r="G1530" s="508" t="s">
        <v>202</v>
      </c>
      <c r="H1530" s="109" t="s">
        <v>203</v>
      </c>
      <c r="I1530" s="99"/>
      <c r="J1530" s="99" t="s">
        <v>56</v>
      </c>
      <c r="K1530" s="107">
        <v>45657</v>
      </c>
      <c r="L1530" s="89" t="s">
        <v>1446</v>
      </c>
      <c r="M1530" s="99" t="s">
        <v>20</v>
      </c>
      <c r="N1530" s="108"/>
    </row>
    <row r="1531" spans="1:14" ht="15.65" hidden="1" customHeight="1" x14ac:dyDescent="0.25">
      <c r="A1531" s="99">
        <v>13.01</v>
      </c>
      <c r="B1531" s="99"/>
      <c r="C1531" s="99" t="s">
        <v>204</v>
      </c>
      <c r="D1531" s="78" t="s">
        <v>1443</v>
      </c>
      <c r="E1531" s="150" t="s">
        <v>986</v>
      </c>
      <c r="G1531" s="508" t="s">
        <v>205</v>
      </c>
      <c r="H1531" s="109" t="s">
        <v>206</v>
      </c>
      <c r="I1531" s="99"/>
      <c r="J1531" s="99" t="s">
        <v>56</v>
      </c>
      <c r="K1531" s="107">
        <v>45657</v>
      </c>
      <c r="L1531" s="89" t="s">
        <v>1446</v>
      </c>
      <c r="M1531" s="99" t="s">
        <v>20</v>
      </c>
      <c r="N1531" s="108"/>
    </row>
    <row r="1532" spans="1:14" ht="15.65" hidden="1" customHeight="1" x14ac:dyDescent="0.25">
      <c r="A1532" s="99">
        <v>13.05</v>
      </c>
      <c r="B1532" s="99"/>
      <c r="C1532" s="99" t="s">
        <v>207</v>
      </c>
      <c r="D1532" s="78" t="s">
        <v>1443</v>
      </c>
      <c r="E1532" s="150" t="s">
        <v>986</v>
      </c>
      <c r="G1532" s="508" t="s">
        <v>208</v>
      </c>
      <c r="H1532" s="109" t="s">
        <v>209</v>
      </c>
      <c r="I1532" s="99"/>
      <c r="J1532" s="99" t="s">
        <v>56</v>
      </c>
      <c r="K1532" s="107">
        <v>45657</v>
      </c>
      <c r="L1532" s="89" t="s">
        <v>1446</v>
      </c>
      <c r="M1532" s="99" t="s">
        <v>20</v>
      </c>
      <c r="N1532" s="108"/>
    </row>
    <row r="1533" spans="1:14" ht="15.65" hidden="1" customHeight="1" x14ac:dyDescent="0.25">
      <c r="A1533" s="99">
        <v>14.01</v>
      </c>
      <c r="B1533" s="99"/>
      <c r="C1533" s="99" t="s">
        <v>210</v>
      </c>
      <c r="D1533" s="78" t="s">
        <v>1443</v>
      </c>
      <c r="E1533" s="150" t="s">
        <v>986</v>
      </c>
      <c r="G1533" s="508" t="s">
        <v>211</v>
      </c>
      <c r="H1533" s="109" t="s">
        <v>212</v>
      </c>
      <c r="I1533" s="99"/>
      <c r="J1533" s="99" t="s">
        <v>56</v>
      </c>
      <c r="K1533" s="107">
        <v>45657</v>
      </c>
      <c r="L1533" s="89" t="s">
        <v>1446</v>
      </c>
      <c r="M1533" s="99" t="s">
        <v>20</v>
      </c>
      <c r="N1533" s="108"/>
    </row>
    <row r="1534" spans="1:14" ht="10.5" hidden="1" x14ac:dyDescent="0.25">
      <c r="A1534" s="99">
        <v>14.03</v>
      </c>
      <c r="B1534" s="99"/>
      <c r="C1534" s="99" t="s">
        <v>213</v>
      </c>
      <c r="D1534" s="78" t="s">
        <v>1443</v>
      </c>
      <c r="E1534" s="150" t="s">
        <v>986</v>
      </c>
      <c r="G1534" s="508" t="s">
        <v>214</v>
      </c>
      <c r="H1534" s="109" t="s">
        <v>215</v>
      </c>
      <c r="I1534" s="99"/>
      <c r="J1534" s="99" t="s">
        <v>56</v>
      </c>
      <c r="K1534" s="107">
        <v>45657</v>
      </c>
      <c r="L1534" s="89" t="s">
        <v>1446</v>
      </c>
      <c r="M1534" s="99" t="s">
        <v>20</v>
      </c>
      <c r="N1534" s="108"/>
    </row>
    <row r="1535" spans="1:14" ht="15.65" hidden="1" customHeight="1" x14ac:dyDescent="0.25">
      <c r="A1535" s="99">
        <v>15.01</v>
      </c>
      <c r="B1535" s="99"/>
      <c r="C1535" s="99" t="s">
        <v>216</v>
      </c>
      <c r="D1535" s="78" t="s">
        <v>1443</v>
      </c>
      <c r="E1535" s="150" t="s">
        <v>986</v>
      </c>
      <c r="G1535" s="508" t="s">
        <v>217</v>
      </c>
      <c r="H1535" s="109" t="s">
        <v>218</v>
      </c>
      <c r="I1535" s="99"/>
      <c r="J1535" s="99" t="s">
        <v>56</v>
      </c>
      <c r="K1535" s="107">
        <v>45657</v>
      </c>
      <c r="L1535" s="89" t="s">
        <v>1446</v>
      </c>
      <c r="M1535" s="99" t="s">
        <v>20</v>
      </c>
      <c r="N1535" s="108"/>
    </row>
    <row r="1536" spans="1:14" ht="15.5" hidden="1" customHeight="1" x14ac:dyDescent="0.25">
      <c r="A1536" s="99">
        <v>19.010000000000002</v>
      </c>
      <c r="B1536" s="99"/>
      <c r="C1536" s="99" t="s">
        <v>219</v>
      </c>
      <c r="D1536" s="78" t="s">
        <v>1443</v>
      </c>
      <c r="E1536" s="150" t="s">
        <v>986</v>
      </c>
      <c r="G1536" s="508" t="s">
        <v>220</v>
      </c>
      <c r="H1536" s="109" t="s">
        <v>221</v>
      </c>
      <c r="I1536" s="99"/>
      <c r="J1536" s="99" t="s">
        <v>56</v>
      </c>
      <c r="K1536" s="107">
        <v>45657</v>
      </c>
      <c r="L1536" s="89" t="s">
        <v>1446</v>
      </c>
      <c r="M1536" s="99" t="s">
        <v>20</v>
      </c>
      <c r="N1536" s="108"/>
    </row>
    <row r="1537" spans="1:14" ht="10.5" hidden="1" x14ac:dyDescent="0.25">
      <c r="A1537" s="99" t="s">
        <v>222</v>
      </c>
      <c r="B1537" s="99"/>
      <c r="C1537" s="99" t="s">
        <v>223</v>
      </c>
      <c r="D1537" s="78" t="s">
        <v>1443</v>
      </c>
      <c r="E1537" s="150" t="s">
        <v>986</v>
      </c>
      <c r="G1537" s="508" t="s">
        <v>224</v>
      </c>
      <c r="H1537" s="109" t="s">
        <v>225</v>
      </c>
      <c r="I1537" s="99"/>
      <c r="J1537" s="99" t="s">
        <v>56</v>
      </c>
      <c r="K1537" s="107">
        <v>45657</v>
      </c>
      <c r="L1537" s="89" t="s">
        <v>1446</v>
      </c>
      <c r="M1537" s="99" t="s">
        <v>20</v>
      </c>
      <c r="N1537" s="108"/>
    </row>
    <row r="1538" spans="1:14" ht="15.65" hidden="1" customHeight="1" x14ac:dyDescent="0.25">
      <c r="A1538" s="99">
        <v>22.007558</v>
      </c>
      <c r="B1538" s="99"/>
      <c r="C1538" s="99" t="s">
        <v>226</v>
      </c>
      <c r="D1538" s="78" t="s">
        <v>1443</v>
      </c>
      <c r="E1538" s="150" t="s">
        <v>986</v>
      </c>
      <c r="G1538" s="508" t="s">
        <v>227</v>
      </c>
      <c r="H1538" s="109" t="s">
        <v>228</v>
      </c>
      <c r="I1538" s="99"/>
      <c r="J1538" s="99" t="s">
        <v>56</v>
      </c>
      <c r="K1538" s="107">
        <v>45657</v>
      </c>
      <c r="L1538" s="89" t="s">
        <v>1446</v>
      </c>
      <c r="M1538" s="99" t="s">
        <v>20</v>
      </c>
      <c r="N1538" s="108"/>
    </row>
    <row r="1539" spans="1:14" ht="15.65" hidden="1" customHeight="1" x14ac:dyDescent="0.25">
      <c r="A1539" s="99" t="s">
        <v>229</v>
      </c>
      <c r="B1539" s="99"/>
      <c r="C1539" s="99" t="s">
        <v>230</v>
      </c>
      <c r="D1539" s="78" t="s">
        <v>1443</v>
      </c>
      <c r="E1539" s="150" t="s">
        <v>986</v>
      </c>
      <c r="G1539" s="508" t="s">
        <v>231</v>
      </c>
      <c r="H1539" s="109" t="s">
        <v>232</v>
      </c>
      <c r="I1539" s="99"/>
      <c r="J1539" s="99" t="s">
        <v>56</v>
      </c>
      <c r="K1539" s="107">
        <v>45657</v>
      </c>
      <c r="L1539" s="89" t="s">
        <v>1446</v>
      </c>
      <c r="M1539" s="99" t="s">
        <v>20</v>
      </c>
      <c r="N1539" s="108"/>
    </row>
    <row r="1540" spans="1:14" ht="15.65" hidden="1" customHeight="1" x14ac:dyDescent="0.25">
      <c r="A1540" s="99" t="s">
        <v>233</v>
      </c>
      <c r="B1540" s="99"/>
      <c r="C1540" s="99" t="s">
        <v>234</v>
      </c>
      <c r="D1540" s="78" t="s">
        <v>1443</v>
      </c>
      <c r="E1540" s="150" t="s">
        <v>986</v>
      </c>
      <c r="G1540" s="508" t="s">
        <v>1450</v>
      </c>
      <c r="H1540" s="109" t="s">
        <v>1451</v>
      </c>
      <c r="I1540" s="99"/>
      <c r="J1540" s="99" t="s">
        <v>56</v>
      </c>
      <c r="K1540" s="107">
        <v>45657</v>
      </c>
      <c r="L1540" s="89" t="s">
        <v>1446</v>
      </c>
      <c r="M1540" s="99" t="s">
        <v>20</v>
      </c>
      <c r="N1540" s="108"/>
    </row>
    <row r="1541" spans="1:14" ht="15.65" hidden="1" customHeight="1" x14ac:dyDescent="0.25">
      <c r="A1541" s="99" t="s">
        <v>235</v>
      </c>
      <c r="B1541" s="99"/>
      <c r="C1541" s="99" t="s">
        <v>236</v>
      </c>
      <c r="D1541" s="78" t="s">
        <v>1443</v>
      </c>
      <c r="E1541" s="150" t="s">
        <v>986</v>
      </c>
      <c r="G1541" s="508" t="s">
        <v>136</v>
      </c>
      <c r="H1541" s="109" t="s">
        <v>137</v>
      </c>
      <c r="I1541" s="99"/>
      <c r="J1541" s="99" t="s">
        <v>56</v>
      </c>
      <c r="K1541" s="107">
        <v>45657</v>
      </c>
      <c r="L1541" s="89" t="s">
        <v>1446</v>
      </c>
      <c r="M1541" s="99" t="s">
        <v>20</v>
      </c>
      <c r="N1541" s="108"/>
    </row>
    <row r="1542" spans="1:14" ht="15.65" hidden="1" customHeight="1" x14ac:dyDescent="0.25">
      <c r="A1542" s="99">
        <v>22.037474</v>
      </c>
      <c r="B1542" s="99"/>
      <c r="C1542" s="99" t="s">
        <v>237</v>
      </c>
      <c r="D1542" s="78" t="s">
        <v>1443</v>
      </c>
      <c r="E1542" s="150" t="s">
        <v>986</v>
      </c>
      <c r="G1542" s="508" t="s">
        <v>202</v>
      </c>
      <c r="H1542" s="109" t="s">
        <v>203</v>
      </c>
      <c r="I1542" s="99"/>
      <c r="J1542" s="99" t="s">
        <v>56</v>
      </c>
      <c r="K1542" s="107">
        <v>45657</v>
      </c>
      <c r="L1542" s="89" t="s">
        <v>1446</v>
      </c>
      <c r="M1542" s="99" t="s">
        <v>20</v>
      </c>
      <c r="N1542" s="108"/>
    </row>
    <row r="1543" spans="1:14" ht="15.65" hidden="1" customHeight="1" x14ac:dyDescent="0.25">
      <c r="A1543" s="99">
        <v>22.087305000000001</v>
      </c>
      <c r="B1543" s="99"/>
      <c r="C1543" s="99" t="s">
        <v>238</v>
      </c>
      <c r="D1543" s="78" t="s">
        <v>1443</v>
      </c>
      <c r="E1543" s="150" t="s">
        <v>986</v>
      </c>
      <c r="G1543" s="508" t="s">
        <v>239</v>
      </c>
      <c r="H1543" s="109" t="s">
        <v>240</v>
      </c>
      <c r="I1543" s="99"/>
      <c r="J1543" s="99" t="s">
        <v>56</v>
      </c>
      <c r="K1543" s="107">
        <v>45657</v>
      </c>
      <c r="L1543" s="89" t="s">
        <v>1446</v>
      </c>
      <c r="M1543" s="99" t="s">
        <v>20</v>
      </c>
      <c r="N1543" s="108"/>
    </row>
    <row r="1544" spans="1:14" ht="15.65" hidden="1" customHeight="1" x14ac:dyDescent="0.25">
      <c r="A1544" s="99" t="s">
        <v>241</v>
      </c>
      <c r="B1544" s="99"/>
      <c r="C1544" s="99" t="s">
        <v>242</v>
      </c>
      <c r="D1544" s="78" t="s">
        <v>1443</v>
      </c>
      <c r="E1544" s="150" t="s">
        <v>986</v>
      </c>
      <c r="G1544" s="508" t="s">
        <v>243</v>
      </c>
      <c r="H1544" s="109" t="s">
        <v>244</v>
      </c>
      <c r="I1544" s="99"/>
      <c r="J1544" s="99" t="s">
        <v>56</v>
      </c>
      <c r="K1544" s="107">
        <v>45657</v>
      </c>
      <c r="L1544" s="89" t="s">
        <v>1446</v>
      </c>
      <c r="M1544" s="99" t="s">
        <v>20</v>
      </c>
      <c r="N1544" s="108"/>
    </row>
    <row r="1545" spans="1:14" ht="15.65" hidden="1" customHeight="1" x14ac:dyDescent="0.25">
      <c r="A1545" s="99" t="s">
        <v>245</v>
      </c>
      <c r="B1545" s="99"/>
      <c r="C1545" s="99" t="s">
        <v>246</v>
      </c>
      <c r="D1545" s="78" t="s">
        <v>1443</v>
      </c>
      <c r="E1545" s="150" t="s">
        <v>986</v>
      </c>
      <c r="G1545" s="508" t="s">
        <v>247</v>
      </c>
      <c r="H1545" s="109" t="s">
        <v>248</v>
      </c>
      <c r="I1545" s="99"/>
      <c r="J1545" s="99" t="s">
        <v>56</v>
      </c>
      <c r="K1545" s="107">
        <v>45657</v>
      </c>
      <c r="L1545" s="89" t="s">
        <v>1446</v>
      </c>
      <c r="M1545" s="99" t="s">
        <v>20</v>
      </c>
      <c r="N1545" s="108"/>
    </row>
    <row r="1546" spans="1:14" ht="15.65" hidden="1" customHeight="1" x14ac:dyDescent="0.25">
      <c r="A1546" s="99" t="s">
        <v>249</v>
      </c>
      <c r="B1546" s="99"/>
      <c r="C1546" s="99" t="s">
        <v>250</v>
      </c>
      <c r="D1546" s="78" t="s">
        <v>1443</v>
      </c>
      <c r="E1546" s="150" t="s">
        <v>986</v>
      </c>
      <c r="G1546" s="508" t="s">
        <v>251</v>
      </c>
      <c r="H1546" s="109" t="s">
        <v>252</v>
      </c>
      <c r="I1546" s="99"/>
      <c r="J1546" s="99" t="s">
        <v>56</v>
      </c>
      <c r="K1546" s="107">
        <v>45657</v>
      </c>
      <c r="L1546" s="89" t="s">
        <v>1446</v>
      </c>
      <c r="M1546" s="99" t="s">
        <v>20</v>
      </c>
      <c r="N1546" s="108"/>
    </row>
    <row r="1547" spans="1:14" ht="15.65" hidden="1" customHeight="1" x14ac:dyDescent="0.25">
      <c r="A1547" s="99" t="s">
        <v>253</v>
      </c>
      <c r="B1547" s="99"/>
      <c r="C1547" s="99" t="s">
        <v>254</v>
      </c>
      <c r="D1547" s="78" t="s">
        <v>1443</v>
      </c>
      <c r="E1547" s="150" t="s">
        <v>986</v>
      </c>
      <c r="G1547" s="508" t="s">
        <v>255</v>
      </c>
      <c r="H1547" s="109" t="s">
        <v>256</v>
      </c>
      <c r="I1547" s="99"/>
      <c r="J1547" s="99" t="s">
        <v>56</v>
      </c>
      <c r="K1547" s="107">
        <v>45657</v>
      </c>
      <c r="L1547" s="89" t="s">
        <v>1446</v>
      </c>
      <c r="M1547" s="99" t="s">
        <v>20</v>
      </c>
      <c r="N1547" s="108"/>
    </row>
    <row r="1548" spans="1:14" ht="15.65" hidden="1" customHeight="1" x14ac:dyDescent="0.25">
      <c r="A1548" s="99">
        <v>22.507209</v>
      </c>
      <c r="B1548" s="99"/>
      <c r="C1548" s="99" t="s">
        <v>257</v>
      </c>
      <c r="D1548" s="78" t="s">
        <v>1443</v>
      </c>
      <c r="E1548" s="150" t="s">
        <v>986</v>
      </c>
      <c r="G1548" s="508" t="s">
        <v>258</v>
      </c>
      <c r="H1548" s="109" t="s">
        <v>259</v>
      </c>
      <c r="I1548" s="99"/>
      <c r="J1548" s="99" t="s">
        <v>56</v>
      </c>
      <c r="K1548" s="107">
        <v>45657</v>
      </c>
      <c r="L1548" s="89" t="s">
        <v>1446</v>
      </c>
      <c r="M1548" s="99" t="s">
        <v>20</v>
      </c>
      <c r="N1548" s="108"/>
    </row>
    <row r="1549" spans="1:14" ht="15.65" hidden="1" customHeight="1" x14ac:dyDescent="0.25">
      <c r="A1549" s="99" t="s">
        <v>260</v>
      </c>
      <c r="B1549" s="99"/>
      <c r="C1549" s="99" t="s">
        <v>261</v>
      </c>
      <c r="D1549" s="78" t="s">
        <v>1443</v>
      </c>
      <c r="E1549" s="150" t="s">
        <v>986</v>
      </c>
      <c r="G1549" s="508" t="s">
        <v>262</v>
      </c>
      <c r="H1549" s="109" t="s">
        <v>263</v>
      </c>
      <c r="I1549" s="99"/>
      <c r="J1549" s="99" t="s">
        <v>56</v>
      </c>
      <c r="K1549" s="107">
        <v>45657</v>
      </c>
      <c r="L1549" s="89" t="s">
        <v>1446</v>
      </c>
      <c r="M1549" s="99" t="s">
        <v>20</v>
      </c>
      <c r="N1549" s="108"/>
    </row>
    <row r="1550" spans="1:14" ht="15.65" hidden="1" customHeight="1" x14ac:dyDescent="0.25">
      <c r="A1550" s="99" t="s">
        <v>264</v>
      </c>
      <c r="B1550" s="99"/>
      <c r="C1550" s="99" t="s">
        <v>265</v>
      </c>
      <c r="D1550" s="78" t="s">
        <v>1443</v>
      </c>
      <c r="E1550" s="150" t="s">
        <v>986</v>
      </c>
      <c r="G1550" s="508" t="s">
        <v>266</v>
      </c>
      <c r="H1550" s="109" t="s">
        <v>267</v>
      </c>
      <c r="I1550" s="99"/>
      <c r="J1550" s="99" t="s">
        <v>56</v>
      </c>
      <c r="K1550" s="107">
        <v>45657</v>
      </c>
      <c r="L1550" s="89" t="s">
        <v>1446</v>
      </c>
      <c r="M1550" s="99" t="s">
        <v>20</v>
      </c>
      <c r="N1550" s="108"/>
    </row>
    <row r="1551" spans="1:14" ht="15.65" hidden="1" customHeight="1" x14ac:dyDescent="0.25">
      <c r="A1551" s="99">
        <v>22.607011</v>
      </c>
      <c r="B1551" s="99"/>
      <c r="C1551" s="99" t="s">
        <v>268</v>
      </c>
      <c r="D1551" s="78" t="s">
        <v>1443</v>
      </c>
      <c r="E1551" s="150" t="s">
        <v>986</v>
      </c>
      <c r="G1551" s="508" t="s">
        <v>269</v>
      </c>
      <c r="H1551" s="109" t="s">
        <v>270</v>
      </c>
      <c r="I1551" s="99"/>
      <c r="J1551" s="99" t="s">
        <v>56</v>
      </c>
      <c r="K1551" s="107">
        <v>45657</v>
      </c>
      <c r="L1551" s="89" t="s">
        <v>1446</v>
      </c>
      <c r="M1551" s="99" t="s">
        <v>20</v>
      </c>
      <c r="N1551" s="108"/>
    </row>
    <row r="1552" spans="1:14" ht="15.65" hidden="1" customHeight="1" x14ac:dyDescent="0.25">
      <c r="A1552" s="99">
        <v>22.697012000000001</v>
      </c>
      <c r="B1552" s="99"/>
      <c r="C1552" s="99" t="s">
        <v>271</v>
      </c>
      <c r="D1552" s="78" t="s">
        <v>1443</v>
      </c>
      <c r="E1552" s="150" t="s">
        <v>986</v>
      </c>
      <c r="G1552" s="508" t="s">
        <v>272</v>
      </c>
      <c r="H1552" s="109" t="s">
        <v>273</v>
      </c>
      <c r="I1552" s="99"/>
      <c r="J1552" s="99" t="s">
        <v>56</v>
      </c>
      <c r="K1552" s="107">
        <v>45657</v>
      </c>
      <c r="L1552" s="89" t="s">
        <v>1446</v>
      </c>
      <c r="M1552" s="99" t="s">
        <v>20</v>
      </c>
      <c r="N1552" s="108"/>
    </row>
    <row r="1553" spans="1:14" ht="15.65" hidden="1" customHeight="1" x14ac:dyDescent="0.25">
      <c r="A1553" s="99" t="s">
        <v>274</v>
      </c>
      <c r="B1553" s="99"/>
      <c r="C1553" s="99" t="s">
        <v>275</v>
      </c>
      <c r="D1553" s="78" t="s">
        <v>1443</v>
      </c>
      <c r="E1553" s="150" t="s">
        <v>986</v>
      </c>
      <c r="G1553" s="508" t="s">
        <v>1455</v>
      </c>
      <c r="H1553" s="109" t="s">
        <v>1456</v>
      </c>
      <c r="I1553" s="99"/>
      <c r="J1553" s="99" t="s">
        <v>56</v>
      </c>
      <c r="K1553" s="107">
        <v>45657</v>
      </c>
      <c r="L1553" s="89" t="s">
        <v>1446</v>
      </c>
      <c r="M1553" s="99" t="s">
        <v>20</v>
      </c>
      <c r="N1553" s="108"/>
    </row>
    <row r="1554" spans="1:14" ht="15.65" hidden="1" customHeight="1" x14ac:dyDescent="0.25">
      <c r="A1554" s="99" t="s">
        <v>276</v>
      </c>
      <c r="B1554" s="99"/>
      <c r="C1554" s="99" t="s">
        <v>277</v>
      </c>
      <c r="D1554" s="78" t="s">
        <v>1443</v>
      </c>
      <c r="E1554" s="150" t="s">
        <v>986</v>
      </c>
      <c r="G1554" s="508" t="s">
        <v>278</v>
      </c>
      <c r="H1554" s="109" t="s">
        <v>279</v>
      </c>
      <c r="I1554" s="99"/>
      <c r="J1554" s="99" t="s">
        <v>56</v>
      </c>
      <c r="K1554" s="107">
        <v>45657</v>
      </c>
      <c r="L1554" s="89" t="s">
        <v>1446</v>
      </c>
      <c r="M1554" s="99" t="s">
        <v>20</v>
      </c>
      <c r="N1554" s="108"/>
    </row>
    <row r="1555" spans="1:14" ht="15.65" hidden="1" customHeight="1" x14ac:dyDescent="0.25">
      <c r="A1555" s="99">
        <v>29.01</v>
      </c>
      <c r="B1555" s="99"/>
      <c r="C1555" s="99" t="s">
        <v>280</v>
      </c>
      <c r="D1555" s="78" t="s">
        <v>1443</v>
      </c>
      <c r="E1555" s="150" t="s">
        <v>986</v>
      </c>
      <c r="G1555" s="508" t="s">
        <v>281</v>
      </c>
      <c r="H1555" s="109" t="s">
        <v>282</v>
      </c>
      <c r="I1555" s="99"/>
      <c r="J1555" s="99" t="s">
        <v>56</v>
      </c>
      <c r="K1555" s="107">
        <v>45657</v>
      </c>
      <c r="L1555" s="89" t="s">
        <v>1446</v>
      </c>
      <c r="M1555" s="99" t="s">
        <v>20</v>
      </c>
      <c r="N1555" s="108"/>
    </row>
    <row r="1556" spans="1:14" ht="15.65" hidden="1" customHeight="1" x14ac:dyDescent="0.25">
      <c r="A1556" s="99">
        <v>31.08</v>
      </c>
      <c r="B1556" s="99"/>
      <c r="C1556" s="99" t="s">
        <v>283</v>
      </c>
      <c r="D1556" s="78" t="s">
        <v>1443</v>
      </c>
      <c r="E1556" s="150" t="s">
        <v>986</v>
      </c>
      <c r="G1556" s="508" t="s">
        <v>284</v>
      </c>
      <c r="H1556" s="109" t="s">
        <v>285</v>
      </c>
      <c r="I1556" s="99"/>
      <c r="J1556" s="99" t="s">
        <v>56</v>
      </c>
      <c r="K1556" s="107">
        <v>45657</v>
      </c>
      <c r="L1556" s="89" t="s">
        <v>1446</v>
      </c>
      <c r="M1556" s="99" t="s">
        <v>20</v>
      </c>
      <c r="N1556" s="108"/>
    </row>
    <row r="1557" spans="1:14" ht="15.65" hidden="1" customHeight="1" x14ac:dyDescent="0.25">
      <c r="A1557" s="99" t="s">
        <v>286</v>
      </c>
      <c r="B1557" s="99"/>
      <c r="C1557" s="99" t="s">
        <v>287</v>
      </c>
      <c r="D1557" s="78" t="s">
        <v>1443</v>
      </c>
      <c r="E1557" s="150" t="s">
        <v>986</v>
      </c>
      <c r="G1557" s="508" t="s">
        <v>288</v>
      </c>
      <c r="H1557" s="109" t="s">
        <v>289</v>
      </c>
      <c r="I1557" s="99"/>
      <c r="J1557" s="99" t="s">
        <v>56</v>
      </c>
      <c r="K1557" s="107">
        <v>45657</v>
      </c>
      <c r="L1557" s="89" t="s">
        <v>1446</v>
      </c>
      <c r="M1557" s="99" t="s">
        <v>20</v>
      </c>
      <c r="N1557" s="108"/>
    </row>
    <row r="1558" spans="1:14" ht="15.65" hidden="1" customHeight="1" x14ac:dyDescent="0.25">
      <c r="A1558" s="99">
        <v>31.097472</v>
      </c>
      <c r="B1558" s="99"/>
      <c r="C1558" s="99" t="s">
        <v>290</v>
      </c>
      <c r="D1558" s="78" t="s">
        <v>1443</v>
      </c>
      <c r="E1558" s="150" t="s">
        <v>986</v>
      </c>
      <c r="G1558" s="508" t="s">
        <v>291</v>
      </c>
      <c r="H1558" s="109" t="s">
        <v>292</v>
      </c>
      <c r="I1558" s="99"/>
      <c r="J1558" s="99" t="s">
        <v>56</v>
      </c>
      <c r="K1558" s="107">
        <v>45657</v>
      </c>
      <c r="L1558" s="89" t="s">
        <v>1446</v>
      </c>
      <c r="M1558" s="99" t="s">
        <v>20</v>
      </c>
      <c r="N1558" s="108"/>
    </row>
    <row r="1559" spans="1:14" ht="15.65" hidden="1" customHeight="1" x14ac:dyDescent="0.25">
      <c r="A1559" s="99">
        <v>31.097550999999999</v>
      </c>
      <c r="B1559" s="99"/>
      <c r="C1559" s="99" t="s">
        <v>293</v>
      </c>
      <c r="D1559" s="78" t="s">
        <v>1443</v>
      </c>
      <c r="E1559" s="150" t="s">
        <v>986</v>
      </c>
      <c r="G1559" s="508" t="s">
        <v>294</v>
      </c>
      <c r="H1559" s="109" t="s">
        <v>295</v>
      </c>
      <c r="I1559" s="99"/>
      <c r="J1559" s="99" t="s">
        <v>56</v>
      </c>
      <c r="K1559" s="107">
        <v>45657</v>
      </c>
      <c r="L1559" s="89" t="s">
        <v>1446</v>
      </c>
      <c r="M1559" s="99" t="s">
        <v>20</v>
      </c>
      <c r="N1559" s="108"/>
    </row>
    <row r="1560" spans="1:14" ht="15.65" hidden="1" customHeight="1" x14ac:dyDescent="0.25">
      <c r="A1560" s="99" t="s">
        <v>296</v>
      </c>
      <c r="B1560" s="99"/>
      <c r="C1560" s="99" t="s">
        <v>297</v>
      </c>
      <c r="D1560" s="78" t="s">
        <v>1443</v>
      </c>
      <c r="E1560" s="150" t="s">
        <v>986</v>
      </c>
      <c r="G1560" s="508" t="s">
        <v>298</v>
      </c>
      <c r="H1560" s="109" t="s">
        <v>299</v>
      </c>
      <c r="I1560" s="99"/>
      <c r="J1560" s="99" t="s">
        <v>56</v>
      </c>
      <c r="K1560" s="107">
        <v>45657</v>
      </c>
      <c r="L1560" s="89" t="s">
        <v>1446</v>
      </c>
      <c r="M1560" s="99" t="s">
        <v>20</v>
      </c>
      <c r="N1560" s="108"/>
    </row>
    <row r="1561" spans="1:14" ht="15.65" hidden="1" customHeight="1" x14ac:dyDescent="0.25">
      <c r="A1561" s="99">
        <v>31.22</v>
      </c>
      <c r="B1561" s="99"/>
      <c r="C1561" s="99" t="s">
        <v>300</v>
      </c>
      <c r="D1561" s="78" t="s">
        <v>1443</v>
      </c>
      <c r="E1561" s="150" t="s">
        <v>986</v>
      </c>
      <c r="G1561" s="508" t="s">
        <v>301</v>
      </c>
      <c r="H1561" s="109" t="s">
        <v>302</v>
      </c>
      <c r="I1561" s="99"/>
      <c r="J1561" s="99" t="s">
        <v>56</v>
      </c>
      <c r="K1561" s="107">
        <v>45657</v>
      </c>
      <c r="L1561" s="89" t="s">
        <v>1446</v>
      </c>
      <c r="M1561" s="99" t="s">
        <v>20</v>
      </c>
      <c r="N1561" s="108"/>
    </row>
    <row r="1562" spans="1:14" ht="15.65" hidden="1" customHeight="1" x14ac:dyDescent="0.25">
      <c r="A1562" s="99">
        <v>31.56</v>
      </c>
      <c r="B1562" s="99"/>
      <c r="C1562" s="99" t="s">
        <v>303</v>
      </c>
      <c r="D1562" s="78" t="s">
        <v>1443</v>
      </c>
      <c r="E1562" s="150" t="s">
        <v>986</v>
      </c>
      <c r="G1562" s="508" t="s">
        <v>304</v>
      </c>
      <c r="H1562" s="109" t="s">
        <v>305</v>
      </c>
      <c r="I1562" s="99"/>
      <c r="J1562" s="99" t="s">
        <v>56</v>
      </c>
      <c r="K1562" s="107">
        <v>45657</v>
      </c>
      <c r="L1562" s="89" t="s">
        <v>1446</v>
      </c>
      <c r="M1562" s="99" t="s">
        <v>20</v>
      </c>
      <c r="N1562" s="108"/>
    </row>
    <row r="1563" spans="1:14" ht="15.65" hidden="1" customHeight="1" x14ac:dyDescent="0.25">
      <c r="A1563" s="99">
        <v>32.01</v>
      </c>
      <c r="B1563" s="99"/>
      <c r="C1563" s="99" t="s">
        <v>306</v>
      </c>
      <c r="D1563" s="78" t="s">
        <v>1443</v>
      </c>
      <c r="E1563" s="150" t="s">
        <v>986</v>
      </c>
      <c r="G1563" s="508" t="s">
        <v>307</v>
      </c>
      <c r="H1563" s="109" t="s">
        <v>308</v>
      </c>
      <c r="I1563" s="99"/>
      <c r="J1563" s="99" t="s">
        <v>56</v>
      </c>
      <c r="K1563" s="107">
        <v>45657</v>
      </c>
      <c r="L1563" s="89" t="s">
        <v>1446</v>
      </c>
      <c r="M1563" s="99" t="s">
        <v>20</v>
      </c>
      <c r="N1563" s="108"/>
    </row>
    <row r="1564" spans="1:14" ht="15.65" hidden="1" customHeight="1" x14ac:dyDescent="0.25">
      <c r="A1564" s="99">
        <v>33.01</v>
      </c>
      <c r="B1564" s="99"/>
      <c r="C1564" s="99" t="s">
        <v>309</v>
      </c>
      <c r="D1564" s="78" t="s">
        <v>1443</v>
      </c>
      <c r="E1564" s="150" t="s">
        <v>986</v>
      </c>
      <c r="G1564" s="508" t="s">
        <v>310</v>
      </c>
      <c r="H1564" s="109" t="s">
        <v>311</v>
      </c>
      <c r="I1564" s="99"/>
      <c r="J1564" s="99" t="s">
        <v>56</v>
      </c>
      <c r="K1564" s="107">
        <v>45657</v>
      </c>
      <c r="L1564" s="89" t="s">
        <v>1446</v>
      </c>
      <c r="M1564" s="99" t="s">
        <v>20</v>
      </c>
      <c r="N1564" s="108"/>
    </row>
    <row r="1565" spans="1:14" ht="15.65" hidden="1" customHeight="1" x14ac:dyDescent="0.25">
      <c r="A1565" s="99">
        <v>34.020000000000003</v>
      </c>
      <c r="B1565" s="99"/>
      <c r="C1565" s="99" t="s">
        <v>312</v>
      </c>
      <c r="D1565" s="78" t="s">
        <v>1443</v>
      </c>
      <c r="E1565" s="150" t="s">
        <v>986</v>
      </c>
      <c r="G1565" s="508" t="s">
        <v>313</v>
      </c>
      <c r="H1565" s="109" t="s">
        <v>314</v>
      </c>
      <c r="I1565" s="99"/>
      <c r="J1565" s="99" t="s">
        <v>56</v>
      </c>
      <c r="K1565" s="107">
        <v>45657</v>
      </c>
      <c r="L1565" s="89" t="s">
        <v>1446</v>
      </c>
      <c r="M1565" s="99" t="s">
        <v>20</v>
      </c>
      <c r="N1565" s="108"/>
    </row>
    <row r="1566" spans="1:14" ht="15.65" hidden="1" customHeight="1" x14ac:dyDescent="0.25">
      <c r="A1566" s="99">
        <v>35.01</v>
      </c>
      <c r="B1566" s="99"/>
      <c r="C1566" s="99" t="s">
        <v>315</v>
      </c>
      <c r="D1566" s="78" t="s">
        <v>1443</v>
      </c>
      <c r="E1566" s="150" t="s">
        <v>986</v>
      </c>
      <c r="G1566" s="508" t="s">
        <v>316</v>
      </c>
      <c r="H1566" s="109" t="s">
        <v>317</v>
      </c>
      <c r="I1566" s="99"/>
      <c r="J1566" s="99" t="s">
        <v>56</v>
      </c>
      <c r="K1566" s="107">
        <v>45657</v>
      </c>
      <c r="L1566" s="89" t="s">
        <v>1446</v>
      </c>
      <c r="M1566" s="99" t="s">
        <v>20</v>
      </c>
      <c r="N1566" s="108"/>
    </row>
    <row r="1567" spans="1:14" ht="15.65" hidden="1" customHeight="1" x14ac:dyDescent="0.25">
      <c r="A1567" s="99" t="s">
        <v>318</v>
      </c>
      <c r="B1567" s="99"/>
      <c r="C1567" s="99" t="s">
        <v>319</v>
      </c>
      <c r="D1567" s="78" t="s">
        <v>1443</v>
      </c>
      <c r="E1567" s="150" t="s">
        <v>986</v>
      </c>
      <c r="G1567" s="508" t="s">
        <v>320</v>
      </c>
      <c r="H1567" s="109" t="s">
        <v>321</v>
      </c>
      <c r="I1567" s="99"/>
      <c r="J1567" s="99" t="s">
        <v>56</v>
      </c>
      <c r="K1567" s="107">
        <v>45657</v>
      </c>
      <c r="L1567" s="89" t="s">
        <v>1446</v>
      </c>
      <c r="M1567" s="99" t="s">
        <v>20</v>
      </c>
      <c r="N1567" s="108"/>
    </row>
    <row r="1568" spans="1:14" ht="15.65" hidden="1" customHeight="1" x14ac:dyDescent="0.25">
      <c r="A1568" s="99" t="s">
        <v>322</v>
      </c>
      <c r="B1568" s="99"/>
      <c r="C1568" s="99" t="s">
        <v>323</v>
      </c>
      <c r="D1568" s="78" t="s">
        <v>1443</v>
      </c>
      <c r="E1568" s="150" t="s">
        <v>986</v>
      </c>
      <c r="G1568" s="508" t="s">
        <v>324</v>
      </c>
      <c r="H1568" s="109" t="s">
        <v>325</v>
      </c>
      <c r="I1568" s="99"/>
      <c r="J1568" s="99" t="s">
        <v>56</v>
      </c>
      <c r="K1568" s="107">
        <v>45657</v>
      </c>
      <c r="L1568" s="89" t="s">
        <v>1446</v>
      </c>
      <c r="M1568" s="99" t="s">
        <v>20</v>
      </c>
      <c r="N1568" s="108"/>
    </row>
    <row r="1569" spans="1:14" ht="15.65" hidden="1" customHeight="1" x14ac:dyDescent="0.25">
      <c r="A1569" s="99" t="s">
        <v>329</v>
      </c>
      <c r="B1569" s="99"/>
      <c r="C1569" s="99" t="s">
        <v>330</v>
      </c>
      <c r="D1569" s="78" t="s">
        <v>1443</v>
      </c>
      <c r="E1569" s="150" t="s">
        <v>986</v>
      </c>
      <c r="G1569" s="508" t="s">
        <v>331</v>
      </c>
      <c r="H1569" s="109" t="s">
        <v>332</v>
      </c>
      <c r="I1569" s="99"/>
      <c r="J1569" s="99" t="s">
        <v>56</v>
      </c>
      <c r="K1569" s="107">
        <v>45657</v>
      </c>
      <c r="L1569" s="89" t="s">
        <v>1446</v>
      </c>
      <c r="M1569" s="99" t="s">
        <v>20</v>
      </c>
      <c r="N1569" s="108"/>
    </row>
    <row r="1570" spans="1:14" ht="15.65" hidden="1" customHeight="1" x14ac:dyDescent="0.25">
      <c r="A1570" s="99">
        <v>48.002000000000002</v>
      </c>
      <c r="B1570" s="99"/>
      <c r="C1570" s="77" t="s">
        <v>336</v>
      </c>
      <c r="D1570" s="78" t="s">
        <v>1443</v>
      </c>
      <c r="E1570" s="150" t="s">
        <v>986</v>
      </c>
      <c r="G1570" s="516" t="s">
        <v>337</v>
      </c>
      <c r="H1570" s="110" t="s">
        <v>338</v>
      </c>
      <c r="I1570" s="77"/>
      <c r="J1570" s="77" t="s">
        <v>56</v>
      </c>
      <c r="K1570" s="93">
        <v>45657</v>
      </c>
      <c r="L1570" s="97" t="s">
        <v>1446</v>
      </c>
      <c r="M1570" s="77" t="s">
        <v>20</v>
      </c>
      <c r="N1570" s="94"/>
    </row>
    <row r="1571" spans="1:14" ht="15.65" hidden="1" customHeight="1" x14ac:dyDescent="0.25">
      <c r="A1571" s="99" t="s">
        <v>342</v>
      </c>
      <c r="B1571" s="99"/>
      <c r="C1571" s="77" t="s">
        <v>343</v>
      </c>
      <c r="D1571" s="78" t="s">
        <v>1443</v>
      </c>
      <c r="E1571" s="150" t="s">
        <v>986</v>
      </c>
      <c r="F1571" s="97"/>
      <c r="G1571" s="516" t="s">
        <v>1457</v>
      </c>
      <c r="H1571" s="110" t="s">
        <v>1458</v>
      </c>
      <c r="I1571" s="77"/>
      <c r="J1571" s="77" t="s">
        <v>56</v>
      </c>
      <c r="K1571" s="93">
        <v>45657</v>
      </c>
      <c r="L1571" s="97" t="s">
        <v>1446</v>
      </c>
      <c r="M1571" s="77" t="s">
        <v>20</v>
      </c>
      <c r="N1571" s="94"/>
    </row>
    <row r="1572" spans="1:14" ht="15.65" hidden="1" customHeight="1" x14ac:dyDescent="0.25">
      <c r="A1572" s="99" t="s">
        <v>345</v>
      </c>
      <c r="B1572" s="99"/>
      <c r="C1572" s="99" t="s">
        <v>346</v>
      </c>
      <c r="D1572" s="78" t="s">
        <v>1443</v>
      </c>
      <c r="E1572" s="150" t="s">
        <v>986</v>
      </c>
      <c r="G1572" s="508" t="s">
        <v>347</v>
      </c>
      <c r="H1572" s="109" t="s">
        <v>348</v>
      </c>
      <c r="I1572" s="99"/>
      <c r="J1572" s="99" t="s">
        <v>56</v>
      </c>
      <c r="K1572" s="107">
        <v>45657</v>
      </c>
      <c r="L1572" s="89" t="s">
        <v>1446</v>
      </c>
      <c r="M1572" s="99" t="s">
        <v>20</v>
      </c>
      <c r="N1572" s="108"/>
    </row>
    <row r="1573" spans="1:14" ht="15.65" hidden="1" customHeight="1" x14ac:dyDescent="0.25">
      <c r="A1573" s="99" t="s">
        <v>349</v>
      </c>
      <c r="B1573" s="99"/>
      <c r="C1573" s="99" t="s">
        <v>350</v>
      </c>
      <c r="D1573" s="78" t="s">
        <v>1443</v>
      </c>
      <c r="E1573" s="150" t="s">
        <v>986</v>
      </c>
      <c r="G1573" s="508" t="s">
        <v>351</v>
      </c>
      <c r="H1573" s="109" t="s">
        <v>352</v>
      </c>
      <c r="I1573" s="99"/>
      <c r="J1573" s="99" t="s">
        <v>56</v>
      </c>
      <c r="K1573" s="107">
        <v>45657</v>
      </c>
      <c r="L1573" s="89" t="s">
        <v>1446</v>
      </c>
      <c r="M1573" s="99" t="s">
        <v>20</v>
      </c>
      <c r="N1573" s="108"/>
    </row>
    <row r="1574" spans="1:14" ht="15.65" hidden="1" customHeight="1" x14ac:dyDescent="0.25">
      <c r="A1574" s="99" t="s">
        <v>353</v>
      </c>
      <c r="B1574" s="99"/>
      <c r="C1574" s="99" t="s">
        <v>354</v>
      </c>
      <c r="D1574" s="78" t="s">
        <v>1443</v>
      </c>
      <c r="E1574" s="150" t="s">
        <v>986</v>
      </c>
      <c r="G1574" s="508" t="s">
        <v>355</v>
      </c>
      <c r="H1574" s="109" t="s">
        <v>356</v>
      </c>
      <c r="I1574" s="99"/>
      <c r="J1574" s="99" t="s">
        <v>56</v>
      </c>
      <c r="K1574" s="107">
        <v>45657</v>
      </c>
      <c r="L1574" s="89" t="s">
        <v>1446</v>
      </c>
      <c r="M1574" s="100" t="s">
        <v>20</v>
      </c>
      <c r="N1574" s="112"/>
    </row>
    <row r="1575" spans="1:14" ht="32.5" hidden="1" customHeight="1" thickBot="1" x14ac:dyDescent="0.3">
      <c r="A1575" s="99">
        <v>51.097506000000003</v>
      </c>
      <c r="B1575" s="99"/>
      <c r="C1575" s="99" t="s">
        <v>357</v>
      </c>
      <c r="D1575" s="475" t="s">
        <v>1443</v>
      </c>
      <c r="E1575" s="150" t="s">
        <v>986</v>
      </c>
      <c r="F1575" s="143"/>
      <c r="G1575" s="508" t="s">
        <v>358</v>
      </c>
      <c r="H1575" s="508" t="s">
        <v>359</v>
      </c>
      <c r="I1575" s="99"/>
      <c r="J1575" s="99" t="s">
        <v>56</v>
      </c>
      <c r="K1575" s="547">
        <v>45657</v>
      </c>
      <c r="L1575" s="431" t="s">
        <v>1446</v>
      </c>
      <c r="M1575" s="99" t="s">
        <v>20</v>
      </c>
      <c r="N1575" s="108"/>
    </row>
    <row r="1576" spans="1:14" s="89" customFormat="1" ht="11" hidden="1" thickBot="1" x14ac:dyDescent="0.3">
      <c r="A1576" s="99" t="s">
        <v>360</v>
      </c>
      <c r="B1576" s="99"/>
      <c r="C1576" s="99" t="s">
        <v>361</v>
      </c>
      <c r="D1576" s="475" t="s">
        <v>1443</v>
      </c>
      <c r="E1576" s="150" t="s">
        <v>986</v>
      </c>
      <c r="F1576" s="143"/>
      <c r="G1576" s="508" t="s">
        <v>362</v>
      </c>
      <c r="H1576" s="508" t="s">
        <v>363</v>
      </c>
      <c r="I1576" s="99"/>
      <c r="J1576" s="99" t="s">
        <v>56</v>
      </c>
      <c r="K1576" s="547">
        <v>45657</v>
      </c>
      <c r="L1576" s="431" t="s">
        <v>1446</v>
      </c>
      <c r="M1576" s="349" t="s">
        <v>20</v>
      </c>
      <c r="N1576" s="351"/>
    </row>
    <row r="1577" spans="1:14" ht="11" hidden="1" thickBot="1" x14ac:dyDescent="0.3">
      <c r="A1577" s="99">
        <v>51.43</v>
      </c>
      <c r="B1577" s="99"/>
      <c r="C1577" s="99" t="s">
        <v>364</v>
      </c>
      <c r="D1577" s="475" t="s">
        <v>1443</v>
      </c>
      <c r="E1577" s="150" t="s">
        <v>986</v>
      </c>
      <c r="F1577" s="143"/>
      <c r="G1577" s="508" t="s">
        <v>365</v>
      </c>
      <c r="H1577" s="508" t="s">
        <v>366</v>
      </c>
      <c r="I1577" s="99"/>
      <c r="J1577" s="99" t="s">
        <v>56</v>
      </c>
      <c r="K1577" s="547">
        <v>45657</v>
      </c>
      <c r="L1577" s="431" t="s">
        <v>1446</v>
      </c>
      <c r="M1577" s="575" t="s">
        <v>20</v>
      </c>
      <c r="N1577" s="582"/>
    </row>
    <row r="1578" spans="1:14" ht="32.5" hidden="1" customHeight="1" thickBot="1" x14ac:dyDescent="0.3">
      <c r="A1578" s="99">
        <v>51.44</v>
      </c>
      <c r="B1578" s="99"/>
      <c r="C1578" s="77" t="s">
        <v>846</v>
      </c>
      <c r="D1578" s="475" t="s">
        <v>1443</v>
      </c>
      <c r="E1578" s="150" t="s">
        <v>986</v>
      </c>
      <c r="F1578" s="143"/>
      <c r="G1578" s="516" t="s">
        <v>1459</v>
      </c>
      <c r="H1578" s="516" t="s">
        <v>1460</v>
      </c>
      <c r="I1578" s="77"/>
      <c r="J1578" s="77" t="s">
        <v>56</v>
      </c>
      <c r="K1578" s="549">
        <v>45657</v>
      </c>
      <c r="L1578" s="97" t="s">
        <v>1446</v>
      </c>
      <c r="M1578" s="77" t="s">
        <v>20</v>
      </c>
      <c r="N1578" s="94"/>
    </row>
    <row r="1579" spans="1:14" s="89" customFormat="1" ht="47.5" hidden="1" customHeight="1" thickBot="1" x14ac:dyDescent="0.3">
      <c r="A1579" s="99">
        <v>51.987923000000002</v>
      </c>
      <c r="B1579" s="99"/>
      <c r="C1579" s="99" t="s">
        <v>847</v>
      </c>
      <c r="D1579" s="475" t="s">
        <v>1443</v>
      </c>
      <c r="E1579" s="150" t="s">
        <v>986</v>
      </c>
      <c r="F1579" s="143"/>
      <c r="G1579" s="508" t="s">
        <v>848</v>
      </c>
      <c r="H1579" s="508" t="s">
        <v>849</v>
      </c>
      <c r="I1579" s="99"/>
      <c r="J1579" s="99" t="s">
        <v>56</v>
      </c>
      <c r="K1579" s="547">
        <v>45657</v>
      </c>
      <c r="L1579" s="89" t="s">
        <v>1446</v>
      </c>
      <c r="M1579" s="349" t="s">
        <v>20</v>
      </c>
      <c r="N1579" s="351"/>
    </row>
    <row r="1580" spans="1:14" ht="35.5" hidden="1" customHeight="1" x14ac:dyDescent="0.25">
      <c r="A1580" s="100" t="s">
        <v>788</v>
      </c>
      <c r="B1580" s="100"/>
      <c r="C1580" s="100" t="s">
        <v>850</v>
      </c>
      <c r="D1580" s="478" t="s">
        <v>1443</v>
      </c>
      <c r="E1580" s="150" t="s">
        <v>986</v>
      </c>
      <c r="F1580" s="143"/>
      <c r="G1580" s="524" t="s">
        <v>851</v>
      </c>
      <c r="H1580" s="524" t="s">
        <v>852</v>
      </c>
      <c r="I1580" s="100"/>
      <c r="J1580" s="100" t="s">
        <v>56</v>
      </c>
      <c r="K1580" s="553">
        <v>45657</v>
      </c>
      <c r="L1580" s="89" t="s">
        <v>1446</v>
      </c>
      <c r="M1580" s="577" t="s">
        <v>20</v>
      </c>
      <c r="N1580" s="585"/>
    </row>
    <row r="1581" spans="1:14" ht="15.65" hidden="1" customHeight="1" x14ac:dyDescent="0.25">
      <c r="A1581" s="99" t="s">
        <v>423</v>
      </c>
      <c r="B1581" s="99"/>
      <c r="C1581" s="99" t="s">
        <v>853</v>
      </c>
      <c r="D1581" s="78" t="s">
        <v>1443</v>
      </c>
      <c r="E1581" s="150" t="s">
        <v>986</v>
      </c>
      <c r="G1581" s="109" t="s">
        <v>854</v>
      </c>
      <c r="H1581" s="109" t="s">
        <v>855</v>
      </c>
      <c r="I1581" s="99"/>
      <c r="J1581" s="99" t="s">
        <v>56</v>
      </c>
      <c r="K1581" s="107">
        <v>45657</v>
      </c>
      <c r="L1581" s="99" t="s">
        <v>1446</v>
      </c>
      <c r="M1581" s="349" t="s">
        <v>20</v>
      </c>
      <c r="N1581" s="351"/>
    </row>
    <row r="1582" spans="1:14" ht="15.65" hidden="1" customHeight="1" x14ac:dyDescent="0.35">
      <c r="A1582" s="138" t="s">
        <v>603</v>
      </c>
      <c r="B1582" s="138"/>
      <c r="C1582" s="75" t="s">
        <v>426</v>
      </c>
      <c r="D1582" s="83"/>
      <c r="E1582" s="83"/>
      <c r="G1582" s="86">
        <v>52.05</v>
      </c>
      <c r="H1582" s="86">
        <v>58.05</v>
      </c>
      <c r="I1582" s="75"/>
      <c r="J1582" s="91" t="s">
        <v>19</v>
      </c>
      <c r="K1582" s="87"/>
      <c r="L1582" s="75" t="s">
        <v>1426</v>
      </c>
      <c r="M1582" s="75" t="s">
        <v>20</v>
      </c>
      <c r="N1582" s="586" t="s">
        <v>1461</v>
      </c>
    </row>
    <row r="1583" spans="1:14" ht="15.65" hidden="1" customHeight="1" x14ac:dyDescent="0.25">
      <c r="A1583" s="99" t="s">
        <v>793</v>
      </c>
      <c r="B1583" s="99"/>
      <c r="C1583" s="99" t="s">
        <v>856</v>
      </c>
      <c r="D1583" s="78" t="s">
        <v>1443</v>
      </c>
      <c r="E1583" s="150" t="s">
        <v>986</v>
      </c>
      <c r="G1583" s="109" t="s">
        <v>857</v>
      </c>
      <c r="H1583" s="109" t="s">
        <v>858</v>
      </c>
      <c r="I1583" s="99"/>
      <c r="J1583" s="99" t="s">
        <v>56</v>
      </c>
      <c r="K1583" s="107">
        <v>45657</v>
      </c>
      <c r="L1583" s="99" t="s">
        <v>1446</v>
      </c>
      <c r="M1583" s="99" t="s">
        <v>20</v>
      </c>
      <c r="N1583" s="108"/>
    </row>
    <row r="1584" spans="1:14" ht="15.65" hidden="1" customHeight="1" x14ac:dyDescent="0.25">
      <c r="A1584" s="99" t="s">
        <v>797</v>
      </c>
      <c r="B1584" s="99"/>
      <c r="C1584" s="99" t="s">
        <v>859</v>
      </c>
      <c r="D1584" s="78" t="s">
        <v>1443</v>
      </c>
      <c r="E1584" s="150" t="s">
        <v>986</v>
      </c>
      <c r="G1584" s="109" t="s">
        <v>860</v>
      </c>
      <c r="H1584" s="109" t="s">
        <v>861</v>
      </c>
      <c r="I1584" s="99"/>
      <c r="J1584" s="99" t="s">
        <v>56</v>
      </c>
      <c r="K1584" s="107">
        <v>45657</v>
      </c>
      <c r="L1584" s="99" t="s">
        <v>1446</v>
      </c>
      <c r="M1584" s="99" t="s">
        <v>20</v>
      </c>
      <c r="N1584" s="108"/>
    </row>
    <row r="1585" spans="1:14" ht="15.65" hidden="1" customHeight="1" x14ac:dyDescent="0.25">
      <c r="A1585" s="99" t="s">
        <v>862</v>
      </c>
      <c r="B1585" s="99"/>
      <c r="C1585" s="99" t="s">
        <v>863</v>
      </c>
      <c r="D1585" s="78" t="s">
        <v>1443</v>
      </c>
      <c r="E1585" s="150" t="s">
        <v>986</v>
      </c>
      <c r="G1585" s="109">
        <v>223.35</v>
      </c>
      <c r="H1585" s="109">
        <v>228.35</v>
      </c>
      <c r="I1585" s="99"/>
      <c r="J1585" s="99" t="s">
        <v>56</v>
      </c>
      <c r="K1585" s="107">
        <v>45657</v>
      </c>
      <c r="L1585" s="99" t="s">
        <v>1446</v>
      </c>
      <c r="M1585" s="99" t="s">
        <v>20</v>
      </c>
      <c r="N1585" s="108"/>
    </row>
    <row r="1586" spans="1:14" ht="15.65" hidden="1" customHeight="1" x14ac:dyDescent="0.25">
      <c r="A1586" s="99" t="s">
        <v>807</v>
      </c>
      <c r="B1586" s="99"/>
      <c r="C1586" s="99" t="s">
        <v>864</v>
      </c>
      <c r="D1586" s="78" t="s">
        <v>1443</v>
      </c>
      <c r="E1586" s="150" t="s">
        <v>986</v>
      </c>
      <c r="G1586" s="109" t="s">
        <v>865</v>
      </c>
      <c r="H1586" s="109" t="s">
        <v>866</v>
      </c>
      <c r="I1586" s="99"/>
      <c r="J1586" s="99" t="s">
        <v>56</v>
      </c>
      <c r="K1586" s="107">
        <v>45657</v>
      </c>
      <c r="L1586" s="99" t="s">
        <v>1446</v>
      </c>
      <c r="M1586" s="99" t="s">
        <v>20</v>
      </c>
      <c r="N1586" s="108"/>
    </row>
    <row r="1587" spans="1:14" ht="15.65" hidden="1" customHeight="1" x14ac:dyDescent="0.25">
      <c r="A1587" s="99" t="s">
        <v>867</v>
      </c>
      <c r="B1587" s="99"/>
      <c r="C1587" s="99" t="s">
        <v>868</v>
      </c>
      <c r="D1587" s="78" t="s">
        <v>1443</v>
      </c>
      <c r="E1587" s="150" t="s">
        <v>986</v>
      </c>
      <c r="G1587" s="109" t="s">
        <v>869</v>
      </c>
      <c r="H1587" s="109" t="s">
        <v>870</v>
      </c>
      <c r="I1587" s="99"/>
      <c r="J1587" s="99" t="s">
        <v>56</v>
      </c>
      <c r="K1587" s="107">
        <v>45657</v>
      </c>
      <c r="L1587" s="99" t="s">
        <v>1446</v>
      </c>
      <c r="M1587" s="99" t="s">
        <v>20</v>
      </c>
      <c r="N1587" s="108"/>
    </row>
    <row r="1588" spans="1:14" ht="15.65" hidden="1" customHeight="1" x14ac:dyDescent="0.25">
      <c r="A1588" s="99" t="s">
        <v>817</v>
      </c>
      <c r="B1588" s="99"/>
      <c r="C1588" s="99" t="s">
        <v>871</v>
      </c>
      <c r="D1588" s="78" t="s">
        <v>1443</v>
      </c>
      <c r="E1588" s="150" t="s">
        <v>986</v>
      </c>
      <c r="G1588" s="109" t="s">
        <v>872</v>
      </c>
      <c r="H1588" s="109" t="s">
        <v>873</v>
      </c>
      <c r="I1588" s="99"/>
      <c r="J1588" s="99" t="s">
        <v>56</v>
      </c>
      <c r="K1588" s="107">
        <v>45657</v>
      </c>
      <c r="L1588" s="99" t="s">
        <v>1446</v>
      </c>
      <c r="M1588" s="99" t="s">
        <v>20</v>
      </c>
      <c r="N1588" s="108"/>
    </row>
    <row r="1589" spans="1:14" ht="15.65" hidden="1" customHeight="1" x14ac:dyDescent="0.25">
      <c r="A1589" s="99">
        <v>58.007449000000001</v>
      </c>
      <c r="B1589" s="99"/>
      <c r="C1589" s="99" t="s">
        <v>874</v>
      </c>
      <c r="D1589" s="78" t="s">
        <v>1443</v>
      </c>
      <c r="E1589" s="150" t="s">
        <v>986</v>
      </c>
      <c r="G1589" s="109" t="s">
        <v>875</v>
      </c>
      <c r="H1589" s="109" t="s">
        <v>876</v>
      </c>
      <c r="I1589" s="99"/>
      <c r="J1589" s="99" t="s">
        <v>56</v>
      </c>
      <c r="K1589" s="107">
        <v>45657</v>
      </c>
      <c r="L1589" s="99" t="s">
        <v>1446</v>
      </c>
      <c r="M1589" s="99" t="s">
        <v>20</v>
      </c>
      <c r="N1589" s="108"/>
    </row>
    <row r="1590" spans="1:14" ht="15.65" hidden="1" customHeight="1" x14ac:dyDescent="0.25">
      <c r="A1590" s="99" t="s">
        <v>829</v>
      </c>
      <c r="B1590" s="99"/>
      <c r="C1590" s="99" t="s">
        <v>877</v>
      </c>
      <c r="D1590" s="78" t="s">
        <v>1443</v>
      </c>
      <c r="E1590" s="150" t="s">
        <v>986</v>
      </c>
      <c r="G1590" s="109" t="s">
        <v>878</v>
      </c>
      <c r="H1590" s="109" t="s">
        <v>879</v>
      </c>
      <c r="I1590" s="99"/>
      <c r="J1590" s="99" t="s">
        <v>56</v>
      </c>
      <c r="K1590" s="107">
        <v>45657</v>
      </c>
      <c r="L1590" s="99" t="s">
        <v>1446</v>
      </c>
      <c r="M1590" s="99" t="s">
        <v>20</v>
      </c>
      <c r="N1590" s="108"/>
    </row>
    <row r="1591" spans="1:14" ht="15.65" hidden="1" customHeight="1" x14ac:dyDescent="0.25">
      <c r="A1591" s="99" t="s">
        <v>831</v>
      </c>
      <c r="B1591" s="99"/>
      <c r="C1591" s="99" t="s">
        <v>880</v>
      </c>
      <c r="D1591" s="78" t="s">
        <v>1443</v>
      </c>
      <c r="E1591" s="150" t="s">
        <v>986</v>
      </c>
      <c r="G1591" s="109" t="s">
        <v>881</v>
      </c>
      <c r="H1591" s="109" t="s">
        <v>882</v>
      </c>
      <c r="I1591" s="99"/>
      <c r="J1591" s="99" t="s">
        <v>56</v>
      </c>
      <c r="K1591" s="107">
        <v>45657</v>
      </c>
      <c r="L1591" s="99" t="s">
        <v>1446</v>
      </c>
      <c r="M1591" s="99" t="s">
        <v>20</v>
      </c>
      <c r="N1591" s="108"/>
    </row>
    <row r="1592" spans="1:14" ht="15.65" hidden="1" customHeight="1" x14ac:dyDescent="0.25">
      <c r="A1592" s="99">
        <v>63.497000999999997</v>
      </c>
      <c r="B1592" s="99"/>
      <c r="C1592" s="99" t="s">
        <v>883</v>
      </c>
      <c r="D1592" s="78" t="s">
        <v>1443</v>
      </c>
      <c r="E1592" s="150" t="s">
        <v>986</v>
      </c>
      <c r="G1592" s="109" t="s">
        <v>272</v>
      </c>
      <c r="H1592" s="109" t="s">
        <v>273</v>
      </c>
      <c r="I1592" s="99"/>
      <c r="J1592" s="99" t="s">
        <v>56</v>
      </c>
      <c r="K1592" s="107">
        <v>45657</v>
      </c>
      <c r="L1592" s="99" t="s">
        <v>1446</v>
      </c>
      <c r="M1592" s="99" t="s">
        <v>20</v>
      </c>
      <c r="N1592" s="108"/>
    </row>
    <row r="1593" spans="1:14" ht="15.65" hidden="1" customHeight="1" x14ac:dyDescent="0.25">
      <c r="A1593" s="99">
        <v>70.040000000000006</v>
      </c>
      <c r="B1593" s="99"/>
      <c r="C1593" s="99" t="s">
        <v>884</v>
      </c>
      <c r="D1593" s="78" t="s">
        <v>1443</v>
      </c>
      <c r="E1593" s="150" t="s">
        <v>986</v>
      </c>
      <c r="G1593" s="109" t="s">
        <v>885</v>
      </c>
      <c r="H1593" s="109" t="s">
        <v>886</v>
      </c>
      <c r="I1593" s="99"/>
      <c r="J1593" s="99" t="s">
        <v>56</v>
      </c>
      <c r="K1593" s="107">
        <v>45657</v>
      </c>
      <c r="L1593" s="99" t="s">
        <v>1446</v>
      </c>
      <c r="M1593" s="99" t="s">
        <v>20</v>
      </c>
      <c r="N1593" s="108"/>
    </row>
    <row r="1594" spans="1:14" ht="15.65" hidden="1" customHeight="1" x14ac:dyDescent="0.25">
      <c r="A1594" s="99" t="s">
        <v>775</v>
      </c>
      <c r="B1594" s="99"/>
      <c r="C1594" s="99" t="s">
        <v>887</v>
      </c>
      <c r="D1594" s="78" t="s">
        <v>1443</v>
      </c>
      <c r="E1594" s="150" t="s">
        <v>986</v>
      </c>
      <c r="G1594" s="109" t="s">
        <v>288</v>
      </c>
      <c r="H1594" s="109" t="s">
        <v>1462</v>
      </c>
      <c r="I1594" s="99"/>
      <c r="J1594" s="99" t="s">
        <v>56</v>
      </c>
      <c r="K1594" s="107">
        <v>45657</v>
      </c>
      <c r="L1594" s="99" t="s">
        <v>1446</v>
      </c>
      <c r="M1594" s="99" t="s">
        <v>20</v>
      </c>
      <c r="N1594" s="108"/>
    </row>
    <row r="1595" spans="1:14" s="387" customFormat="1" ht="15.65" hidden="1" customHeight="1" x14ac:dyDescent="0.25">
      <c r="A1595" s="99">
        <v>70.097447000000003</v>
      </c>
      <c r="B1595" s="99"/>
      <c r="C1595" s="99" t="s">
        <v>888</v>
      </c>
      <c r="D1595" s="78" t="s">
        <v>1443</v>
      </c>
      <c r="E1595" s="150" t="s">
        <v>986</v>
      </c>
      <c r="F1595" s="71"/>
      <c r="G1595" s="109" t="s">
        <v>889</v>
      </c>
      <c r="H1595" s="109">
        <v>40.049999999999997</v>
      </c>
      <c r="I1595" s="99"/>
      <c r="J1595" s="99" t="s">
        <v>56</v>
      </c>
      <c r="K1595" s="107">
        <v>45657</v>
      </c>
      <c r="L1595" s="99" t="s">
        <v>1446</v>
      </c>
      <c r="M1595" s="99" t="s">
        <v>20</v>
      </c>
      <c r="N1595" s="108"/>
    </row>
    <row r="1596" spans="1:14" ht="15.65" hidden="1" customHeight="1" x14ac:dyDescent="0.25">
      <c r="A1596" s="99">
        <v>23.06</v>
      </c>
      <c r="B1596" s="99"/>
      <c r="C1596" s="99" t="s">
        <v>1302</v>
      </c>
      <c r="D1596" s="78" t="s">
        <v>1443</v>
      </c>
      <c r="E1596" s="150" t="s">
        <v>986</v>
      </c>
      <c r="G1596" s="109" t="s">
        <v>1303</v>
      </c>
      <c r="H1596" s="109">
        <v>218</v>
      </c>
      <c r="I1596" s="99"/>
      <c r="J1596" s="99" t="s">
        <v>56</v>
      </c>
      <c r="K1596" s="107">
        <v>45657</v>
      </c>
      <c r="L1596" s="99" t="s">
        <v>1446</v>
      </c>
      <c r="M1596" s="99" t="s">
        <v>20</v>
      </c>
      <c r="N1596" s="108"/>
    </row>
    <row r="1597" spans="1:14" ht="15.65" customHeight="1" x14ac:dyDescent="0.25">
      <c r="A1597" s="99">
        <v>55.097493</v>
      </c>
      <c r="B1597" s="99"/>
      <c r="C1597" s="99" t="s">
        <v>1304</v>
      </c>
      <c r="D1597" s="78" t="s">
        <v>1443</v>
      </c>
      <c r="E1597" s="150" t="s">
        <v>986</v>
      </c>
      <c r="G1597" s="109" t="s">
        <v>1305</v>
      </c>
      <c r="H1597" s="109">
        <v>51</v>
      </c>
      <c r="I1597" s="99"/>
      <c r="J1597" s="99" t="s">
        <v>56</v>
      </c>
      <c r="K1597" s="107">
        <v>45657</v>
      </c>
      <c r="L1597" s="99" t="s">
        <v>1446</v>
      </c>
      <c r="M1597" s="99" t="s">
        <v>20</v>
      </c>
      <c r="N1597" s="108"/>
    </row>
    <row r="1598" spans="1:14" ht="15.65" hidden="1" customHeight="1" x14ac:dyDescent="0.35">
      <c r="A1598" s="99">
        <v>48.002000000000002</v>
      </c>
      <c r="B1598" s="99"/>
      <c r="C1598" s="77" t="s">
        <v>899</v>
      </c>
      <c r="D1598" s="78" t="s">
        <v>1443</v>
      </c>
      <c r="E1598" s="150" t="s">
        <v>986</v>
      </c>
      <c r="G1598" s="92">
        <v>160</v>
      </c>
      <c r="H1598" s="92">
        <v>165</v>
      </c>
      <c r="I1598" s="77"/>
      <c r="J1598" s="114" t="s">
        <v>1463</v>
      </c>
      <c r="K1598" s="93">
        <v>45657</v>
      </c>
      <c r="L1598" s="77" t="s">
        <v>1446</v>
      </c>
      <c r="M1598" s="77" t="s">
        <v>20</v>
      </c>
      <c r="N1598" s="94"/>
    </row>
    <row r="1599" spans="1:14" ht="15.65" hidden="1" customHeight="1" x14ac:dyDescent="0.35">
      <c r="A1599" s="188" t="s">
        <v>397</v>
      </c>
      <c r="B1599" s="188"/>
      <c r="C1599" s="77" t="s">
        <v>398</v>
      </c>
      <c r="D1599" s="78" t="s">
        <v>1443</v>
      </c>
      <c r="E1599" s="150" t="s">
        <v>986</v>
      </c>
      <c r="G1599" s="115">
        <v>160</v>
      </c>
      <c r="H1599" s="115">
        <v>165</v>
      </c>
      <c r="I1599" s="77"/>
      <c r="J1599" s="77" t="s">
        <v>399</v>
      </c>
      <c r="K1599" s="93">
        <v>45657</v>
      </c>
      <c r="L1599" s="77" t="s">
        <v>1464</v>
      </c>
      <c r="M1599" s="94" t="s">
        <v>372</v>
      </c>
      <c r="N1599" s="94"/>
    </row>
    <row r="1600" spans="1:14" ht="15.65" hidden="1" customHeight="1" x14ac:dyDescent="0.35">
      <c r="A1600" s="188" t="s">
        <v>397</v>
      </c>
      <c r="B1600" s="188"/>
      <c r="C1600" s="77" t="s">
        <v>398</v>
      </c>
      <c r="D1600" s="78" t="s">
        <v>1443</v>
      </c>
      <c r="E1600" s="150" t="s">
        <v>986</v>
      </c>
      <c r="F1600" s="339"/>
      <c r="G1600" s="115">
        <v>212</v>
      </c>
      <c r="H1600" s="115">
        <f>G1600+5</f>
        <v>217</v>
      </c>
      <c r="I1600" s="77"/>
      <c r="J1600" s="77" t="s">
        <v>382</v>
      </c>
      <c r="K1600" s="93">
        <v>45657</v>
      </c>
      <c r="L1600" s="77" t="s">
        <v>1464</v>
      </c>
      <c r="M1600" s="94" t="s">
        <v>100</v>
      </c>
      <c r="N1600" s="94"/>
    </row>
    <row r="1601" spans="1:14" ht="15.65" hidden="1" customHeight="1" x14ac:dyDescent="0.25">
      <c r="A1601" s="101" t="s">
        <v>134</v>
      </c>
      <c r="B1601" s="101"/>
      <c r="C1601" s="102" t="s">
        <v>425</v>
      </c>
      <c r="D1601" s="78" t="s">
        <v>1443</v>
      </c>
      <c r="E1601" s="150" t="s">
        <v>986</v>
      </c>
      <c r="F1601" s="75"/>
      <c r="G1601" s="116">
        <v>33</v>
      </c>
      <c r="H1601" s="116">
        <v>38</v>
      </c>
      <c r="I1601" s="99"/>
      <c r="J1601" s="99" t="s">
        <v>973</v>
      </c>
      <c r="K1601" s="107">
        <v>45657</v>
      </c>
      <c r="L1601" s="99" t="s">
        <v>1092</v>
      </c>
      <c r="M1601" s="99" t="s">
        <v>104</v>
      </c>
      <c r="N1601" s="101" t="s">
        <v>1465</v>
      </c>
    </row>
    <row r="1602" spans="1:14" ht="15.65" hidden="1" customHeight="1" x14ac:dyDescent="0.25">
      <c r="A1602" s="101" t="s">
        <v>423</v>
      </c>
      <c r="B1602" s="101"/>
      <c r="C1602" s="102" t="s">
        <v>424</v>
      </c>
      <c r="D1602" s="78" t="s">
        <v>1443</v>
      </c>
      <c r="E1602" s="150" t="s">
        <v>986</v>
      </c>
      <c r="F1602" s="143"/>
      <c r="G1602" s="116">
        <v>111.9</v>
      </c>
      <c r="H1602" s="116">
        <v>116.9</v>
      </c>
      <c r="I1602" s="99"/>
      <c r="J1602" s="99" t="s">
        <v>973</v>
      </c>
      <c r="K1602" s="107">
        <v>45657</v>
      </c>
      <c r="L1602" s="99" t="s">
        <v>1466</v>
      </c>
      <c r="M1602" s="99" t="s">
        <v>104</v>
      </c>
      <c r="N1602" s="101"/>
    </row>
    <row r="1603" spans="1:14" ht="15.65" hidden="1" customHeight="1" x14ac:dyDescent="0.35">
      <c r="A1603" s="188" t="s">
        <v>161</v>
      </c>
      <c r="B1603" s="188"/>
      <c r="C1603" s="99" t="s">
        <v>419</v>
      </c>
      <c r="D1603" s="78" t="s">
        <v>1443</v>
      </c>
      <c r="E1603" s="150" t="s">
        <v>986</v>
      </c>
      <c r="F1603" s="75"/>
      <c r="G1603" s="117">
        <v>77.7</v>
      </c>
      <c r="H1603" s="117">
        <v>82.7</v>
      </c>
      <c r="I1603" s="99"/>
      <c r="J1603" s="99" t="s">
        <v>973</v>
      </c>
      <c r="K1603" s="107">
        <v>45657</v>
      </c>
      <c r="L1603" s="99" t="s">
        <v>1467</v>
      </c>
      <c r="M1603" s="99" t="s">
        <v>100</v>
      </c>
      <c r="N1603" s="108"/>
    </row>
    <row r="1604" spans="1:14" ht="15.65" hidden="1" customHeight="1" x14ac:dyDescent="0.25">
      <c r="A1604" s="102" t="s">
        <v>700</v>
      </c>
      <c r="B1604" s="102"/>
      <c r="C1604" s="102" t="s">
        <v>701</v>
      </c>
      <c r="D1604" s="78" t="s">
        <v>1443</v>
      </c>
      <c r="E1604" s="150" t="s">
        <v>986</v>
      </c>
      <c r="G1604" s="118">
        <v>119.3</v>
      </c>
      <c r="H1604" s="118">
        <v>128.05000000000001</v>
      </c>
      <c r="I1604" s="99"/>
      <c r="J1604" s="99" t="s">
        <v>1468</v>
      </c>
      <c r="K1604" s="107">
        <v>45657</v>
      </c>
      <c r="L1604" s="99" t="s">
        <v>1467</v>
      </c>
      <c r="M1604" s="99" t="s">
        <v>20</v>
      </c>
      <c r="N1604" s="108"/>
    </row>
    <row r="1605" spans="1:14" ht="10.5" hidden="1" x14ac:dyDescent="0.35">
      <c r="A1605" s="188" t="s">
        <v>150</v>
      </c>
      <c r="B1605" s="188"/>
      <c r="C1605" s="99" t="s">
        <v>1099</v>
      </c>
      <c r="D1605" s="78" t="s">
        <v>1443</v>
      </c>
      <c r="E1605" s="150" t="s">
        <v>986</v>
      </c>
      <c r="G1605" s="106">
        <v>25.05</v>
      </c>
      <c r="H1605" s="117">
        <v>30.05</v>
      </c>
      <c r="I1605" s="99"/>
      <c r="J1605" s="99" t="s">
        <v>56</v>
      </c>
      <c r="K1605" s="107" t="s">
        <v>111</v>
      </c>
      <c r="L1605" s="99" t="s">
        <v>1469</v>
      </c>
      <c r="M1605" s="99" t="s">
        <v>20</v>
      </c>
      <c r="N1605" s="108"/>
    </row>
    <row r="1606" spans="1:14" ht="21" hidden="1" customHeight="1" x14ac:dyDescent="0.25">
      <c r="A1606" s="188" t="s">
        <v>817</v>
      </c>
      <c r="B1606" s="188"/>
      <c r="C1606" s="103" t="s">
        <v>1470</v>
      </c>
      <c r="D1606" s="78" t="s">
        <v>1443</v>
      </c>
      <c r="E1606" s="150" t="s">
        <v>986</v>
      </c>
      <c r="G1606" s="106">
        <v>131.33000000000001</v>
      </c>
      <c r="H1606" s="106">
        <v>136.33000000000001</v>
      </c>
      <c r="I1606" s="99"/>
      <c r="J1606" s="99" t="s">
        <v>56</v>
      </c>
      <c r="K1606" s="107">
        <v>45657</v>
      </c>
      <c r="L1606" s="99" t="s">
        <v>1444</v>
      </c>
      <c r="M1606" s="99" t="s">
        <v>20</v>
      </c>
      <c r="N1606" s="108"/>
    </row>
    <row r="1607" spans="1:14" ht="15.65" hidden="1" customHeight="1" x14ac:dyDescent="0.35">
      <c r="A1607" s="188" t="s">
        <v>134</v>
      </c>
      <c r="B1607" s="188"/>
      <c r="C1607" s="99" t="s">
        <v>1471</v>
      </c>
      <c r="D1607" s="78" t="s">
        <v>1443</v>
      </c>
      <c r="E1607" s="150" t="s">
        <v>986</v>
      </c>
      <c r="G1607" s="117">
        <v>33</v>
      </c>
      <c r="H1607" s="117">
        <v>38</v>
      </c>
      <c r="I1607" s="99"/>
      <c r="J1607" s="99" t="s">
        <v>1472</v>
      </c>
      <c r="K1607" s="107">
        <v>45657</v>
      </c>
      <c r="L1607" s="99" t="s">
        <v>1473</v>
      </c>
      <c r="M1607" s="89" t="s">
        <v>100</v>
      </c>
      <c r="N1607" s="561"/>
    </row>
    <row r="1608" spans="1:14" ht="15.65" hidden="1" customHeight="1" x14ac:dyDescent="0.35">
      <c r="A1608" s="341">
        <v>22.607011</v>
      </c>
      <c r="B1608" s="341"/>
      <c r="C1608" s="341" t="s">
        <v>268</v>
      </c>
      <c r="D1608" s="168" t="s">
        <v>1443</v>
      </c>
      <c r="E1608" s="150" t="s">
        <v>986</v>
      </c>
      <c r="F1608" s="89"/>
      <c r="G1608" s="370"/>
      <c r="H1608" s="354">
        <v>49</v>
      </c>
      <c r="I1608" s="341"/>
      <c r="J1608" s="341" t="s">
        <v>1079</v>
      </c>
      <c r="K1608" s="357" t="s">
        <v>1474</v>
      </c>
      <c r="L1608" s="341" t="s">
        <v>1475</v>
      </c>
      <c r="M1608" s="341" t="s">
        <v>1368</v>
      </c>
      <c r="N1608" s="341"/>
    </row>
    <row r="1609" spans="1:14" ht="15.65" hidden="1" customHeight="1" x14ac:dyDescent="0.35">
      <c r="A1609" s="342" t="s">
        <v>1476</v>
      </c>
      <c r="B1609" s="342"/>
      <c r="C1609" s="344" t="s">
        <v>1477</v>
      </c>
      <c r="D1609" s="168" t="s">
        <v>1443</v>
      </c>
      <c r="E1609" s="150" t="s">
        <v>986</v>
      </c>
      <c r="F1609" s="89"/>
      <c r="G1609" s="106">
        <v>86</v>
      </c>
      <c r="H1609" s="106">
        <v>92</v>
      </c>
      <c r="I1609" s="99"/>
      <c r="J1609" s="99" t="s">
        <v>56</v>
      </c>
      <c r="K1609" s="107">
        <v>45657</v>
      </c>
      <c r="L1609" s="99" t="s">
        <v>1371</v>
      </c>
      <c r="M1609" s="99" t="s">
        <v>401</v>
      </c>
      <c r="N1609" s="345" t="s">
        <v>37</v>
      </c>
    </row>
    <row r="1610" spans="1:14" ht="15.65" hidden="1" customHeight="1" x14ac:dyDescent="0.35">
      <c r="A1610" s="342" t="s">
        <v>1478</v>
      </c>
      <c r="B1610" s="342"/>
      <c r="C1610" s="344" t="s">
        <v>614</v>
      </c>
      <c r="D1610" s="168" t="s">
        <v>1443</v>
      </c>
      <c r="E1610" s="150" t="s">
        <v>986</v>
      </c>
      <c r="F1610" s="89"/>
      <c r="G1610" s="106">
        <v>27</v>
      </c>
      <c r="H1610" s="106">
        <v>33</v>
      </c>
      <c r="I1610" s="99"/>
      <c r="J1610" s="99" t="s">
        <v>56</v>
      </c>
      <c r="K1610" s="107">
        <v>45657</v>
      </c>
      <c r="L1610" s="99" t="s">
        <v>1371</v>
      </c>
      <c r="M1610" s="99" t="s">
        <v>401</v>
      </c>
      <c r="N1610" s="345">
        <v>22.607021</v>
      </c>
    </row>
    <row r="1611" spans="1:14" ht="15.65" hidden="1" customHeight="1" x14ac:dyDescent="0.35">
      <c r="A1611" s="188" t="s">
        <v>1493</v>
      </c>
      <c r="B1611" s="188"/>
      <c r="C1611" s="99" t="s">
        <v>1494</v>
      </c>
      <c r="D1611" s="168" t="s">
        <v>1495</v>
      </c>
      <c r="E1611" s="150" t="s">
        <v>986</v>
      </c>
      <c r="F1611" s="75"/>
      <c r="G1611" s="117">
        <v>40</v>
      </c>
      <c r="H1611" s="117">
        <v>45</v>
      </c>
      <c r="I1611" s="99"/>
      <c r="J1611" s="99" t="s">
        <v>1065</v>
      </c>
      <c r="K1611" s="107" t="s">
        <v>1496</v>
      </c>
      <c r="L1611" s="99" t="s">
        <v>1497</v>
      </c>
      <c r="M1611" s="99"/>
      <c r="N1611" s="108"/>
    </row>
    <row r="1612" spans="1:14" ht="15.65" hidden="1" customHeight="1" x14ac:dyDescent="0.25">
      <c r="A1612" s="433" t="s">
        <v>131</v>
      </c>
      <c r="B1612" s="433" t="s">
        <v>1758</v>
      </c>
      <c r="C1612" s="434" t="s">
        <v>935</v>
      </c>
      <c r="D1612" s="474" t="s">
        <v>1719</v>
      </c>
      <c r="E1612" s="157" t="s">
        <v>1180</v>
      </c>
      <c r="F1612" s="379">
        <v>21.74</v>
      </c>
      <c r="G1612" s="615" t="e">
        <f>G1517-(G1517*3.5%)</f>
        <v>#VALUE!</v>
      </c>
      <c r="H1612" s="615" t="e">
        <f t="shared" ref="H1612:H1617" si="30">G1612+6</f>
        <v>#VALUE!</v>
      </c>
      <c r="I1612" s="77"/>
      <c r="J1612" s="77" t="s">
        <v>56</v>
      </c>
      <c r="K1612" s="546" t="s">
        <v>1780</v>
      </c>
      <c r="L1612" s="77"/>
      <c r="M1612" s="94" t="s">
        <v>1716</v>
      </c>
      <c r="N1612" s="94"/>
    </row>
    <row r="1613" spans="1:14" ht="15.65" hidden="1" customHeight="1" x14ac:dyDescent="0.25">
      <c r="A1613" s="435" t="s">
        <v>142</v>
      </c>
      <c r="B1613" s="435" t="s">
        <v>1755</v>
      </c>
      <c r="C1613" s="436" t="s">
        <v>448</v>
      </c>
      <c r="D1613" s="476" t="s">
        <v>1719</v>
      </c>
      <c r="E1613" s="157" t="s">
        <v>1180</v>
      </c>
      <c r="F1613" s="379">
        <v>25.9</v>
      </c>
      <c r="G1613" s="616" t="e">
        <f>G1522-(G1522*3.5%)</f>
        <v>#VALUE!</v>
      </c>
      <c r="H1613" s="616" t="e">
        <f t="shared" si="30"/>
        <v>#VALUE!</v>
      </c>
      <c r="I1613" s="99"/>
      <c r="J1613" s="99" t="s">
        <v>56</v>
      </c>
      <c r="K1613" s="548" t="s">
        <v>1780</v>
      </c>
      <c r="L1613" s="99"/>
      <c r="M1613" s="94" t="s">
        <v>1716</v>
      </c>
      <c r="N1613" s="94"/>
    </row>
    <row r="1614" spans="1:14" ht="15.65" hidden="1" customHeight="1" x14ac:dyDescent="0.25">
      <c r="A1614" s="433" t="s">
        <v>296</v>
      </c>
      <c r="B1614" s="433" t="s">
        <v>1747</v>
      </c>
      <c r="C1614" s="434" t="s">
        <v>675</v>
      </c>
      <c r="D1614" s="474" t="s">
        <v>1719</v>
      </c>
      <c r="E1614" s="157" t="s">
        <v>1180</v>
      </c>
      <c r="F1614" s="494">
        <v>32.630000000000003</v>
      </c>
      <c r="G1614" s="615" t="e">
        <f>G1573-(G1573*3.5%)</f>
        <v>#VALUE!</v>
      </c>
      <c r="H1614" s="615" t="e">
        <f t="shared" si="30"/>
        <v>#VALUE!</v>
      </c>
      <c r="I1614" s="77"/>
      <c r="J1614" s="77" t="s">
        <v>56</v>
      </c>
      <c r="K1614" s="546" t="s">
        <v>1780</v>
      </c>
      <c r="L1614" s="77"/>
      <c r="M1614" s="94" t="s">
        <v>1716</v>
      </c>
      <c r="N1614" s="94"/>
    </row>
    <row r="1615" spans="1:14" ht="15.65" hidden="1" customHeight="1" x14ac:dyDescent="0.25">
      <c r="A1615" s="433" t="s">
        <v>131</v>
      </c>
      <c r="B1615" s="433" t="s">
        <v>1758</v>
      </c>
      <c r="C1615" s="434" t="s">
        <v>935</v>
      </c>
      <c r="D1615" s="474" t="s">
        <v>1720</v>
      </c>
      <c r="E1615" s="157" t="s">
        <v>1180</v>
      </c>
      <c r="F1615" s="379">
        <v>20.979099999999999</v>
      </c>
      <c r="G1615" s="615" t="e">
        <f>G1517+(G1517*15%)</f>
        <v>#VALUE!</v>
      </c>
      <c r="H1615" s="615" t="e">
        <f t="shared" si="30"/>
        <v>#VALUE!</v>
      </c>
      <c r="I1615" s="77"/>
      <c r="J1615" s="77" t="s">
        <v>56</v>
      </c>
      <c r="K1615" s="546" t="s">
        <v>1721</v>
      </c>
      <c r="L1615" s="77"/>
      <c r="M1615" s="77"/>
      <c r="N1615" s="94"/>
    </row>
    <row r="1616" spans="1:14" ht="15.65" hidden="1" customHeight="1" x14ac:dyDescent="0.25">
      <c r="A1616" s="433" t="s">
        <v>142</v>
      </c>
      <c r="B1616" s="433" t="s">
        <v>1755</v>
      </c>
      <c r="C1616" s="434" t="s">
        <v>448</v>
      </c>
      <c r="D1616" s="474" t="s">
        <v>1720</v>
      </c>
      <c r="E1616" s="157" t="s">
        <v>1180</v>
      </c>
      <c r="F1616" s="379">
        <v>24.993499999999997</v>
      </c>
      <c r="G1616" s="615" t="e">
        <f>G1522+(G1522*15%)</f>
        <v>#VALUE!</v>
      </c>
      <c r="H1616" s="615" t="e">
        <f t="shared" si="30"/>
        <v>#VALUE!</v>
      </c>
      <c r="I1616" s="77"/>
      <c r="J1616" s="77" t="s">
        <v>56</v>
      </c>
      <c r="K1616" s="546" t="s">
        <v>1721</v>
      </c>
      <c r="L1616" s="77"/>
      <c r="M1616" s="77"/>
      <c r="N1616" s="94"/>
    </row>
    <row r="1617" spans="1:14" ht="24" hidden="1" customHeight="1" x14ac:dyDescent="0.25">
      <c r="A1617" s="433" t="s">
        <v>296</v>
      </c>
      <c r="B1617" s="433" t="s">
        <v>1747</v>
      </c>
      <c r="C1617" s="434" t="s">
        <v>675</v>
      </c>
      <c r="D1617" s="474" t="s">
        <v>1720</v>
      </c>
      <c r="E1617" s="157" t="s">
        <v>1180</v>
      </c>
      <c r="F1617" s="379">
        <v>31.487950000000001</v>
      </c>
      <c r="G1617" s="615" t="e">
        <f>G1573+(G1573*15%)</f>
        <v>#VALUE!</v>
      </c>
      <c r="H1617" s="615" t="e">
        <f t="shared" si="30"/>
        <v>#VALUE!</v>
      </c>
      <c r="I1617" s="77"/>
      <c r="J1617" s="77" t="s">
        <v>56</v>
      </c>
      <c r="K1617" s="546" t="s">
        <v>1721</v>
      </c>
      <c r="L1617" s="77"/>
      <c r="M1617" s="77"/>
      <c r="N1617" s="94"/>
    </row>
    <row r="1618" spans="1:14" ht="27" hidden="1" customHeight="1" x14ac:dyDescent="0.35">
      <c r="A1618" s="258" t="s">
        <v>172</v>
      </c>
      <c r="B1618" s="258"/>
      <c r="C1618" s="77" t="s">
        <v>1735</v>
      </c>
      <c r="D1618" s="432" t="s">
        <v>18</v>
      </c>
      <c r="E1618" s="157" t="s">
        <v>1180</v>
      </c>
      <c r="F1618" s="75"/>
      <c r="G1618" s="92">
        <v>160.94999999999999</v>
      </c>
      <c r="H1618" s="92">
        <v>166.95</v>
      </c>
      <c r="I1618" s="77"/>
      <c r="J1618" s="77" t="s">
        <v>487</v>
      </c>
      <c r="K1618" s="93">
        <v>46022</v>
      </c>
      <c r="L1618" s="77" t="s">
        <v>1727</v>
      </c>
      <c r="M1618" s="77" t="s">
        <v>401</v>
      </c>
      <c r="N1618" s="94"/>
    </row>
    <row r="1619" spans="1:14" ht="10.5" hidden="1" x14ac:dyDescent="0.35">
      <c r="A1619" s="421" t="s">
        <v>839</v>
      </c>
      <c r="B1619" s="421"/>
      <c r="C1619" s="422" t="s">
        <v>1738</v>
      </c>
      <c r="D1619" s="423" t="s">
        <v>1746</v>
      </c>
      <c r="E1619" s="424" t="s">
        <v>1649</v>
      </c>
      <c r="F1619" s="75"/>
      <c r="G1619" s="425">
        <v>44.7</v>
      </c>
      <c r="H1619" s="425">
        <v>50.7</v>
      </c>
      <c r="I1619" s="422"/>
      <c r="J1619" s="422" t="s">
        <v>487</v>
      </c>
      <c r="K1619" s="426">
        <v>46022</v>
      </c>
      <c r="L1619" s="422" t="s">
        <v>1727</v>
      </c>
      <c r="M1619" s="422" t="s">
        <v>20</v>
      </c>
      <c r="N1619" s="427"/>
    </row>
    <row r="1620" spans="1:14" ht="45" hidden="1" customHeight="1" x14ac:dyDescent="0.35">
      <c r="A1620" s="188" t="s">
        <v>839</v>
      </c>
      <c r="B1620" s="188"/>
      <c r="C1620" s="99" t="s">
        <v>1738</v>
      </c>
      <c r="D1620" s="150" t="s">
        <v>1746</v>
      </c>
      <c r="E1620" s="150"/>
      <c r="F1620" s="75"/>
      <c r="G1620" s="106">
        <v>50.85</v>
      </c>
      <c r="H1620" s="617">
        <v>56.85</v>
      </c>
      <c r="I1620" s="401"/>
      <c r="J1620" s="402" t="s">
        <v>487</v>
      </c>
      <c r="K1620" s="403">
        <v>46022</v>
      </c>
      <c r="L1620" s="404" t="s">
        <v>1744</v>
      </c>
      <c r="M1620" s="405"/>
      <c r="N1620" s="108"/>
    </row>
  </sheetData>
  <sheetProtection formatCells="0" formatColumns="0" formatRows="0" insertColumns="0" insertRows="0" insertHyperlinks="0" deleteColumns="0" deleteRows="0" sort="0" autoFilter="0" pivotTables="0"/>
  <autoFilter ref="A2:N1620" xr:uid="{BFE29D1F-7F84-4327-99B3-9B3CBC8240F0}">
    <filterColumn colId="0">
      <filters>
        <filter val="55.097493"/>
      </filters>
    </filterColumn>
    <sortState xmlns:xlrd2="http://schemas.microsoft.com/office/spreadsheetml/2017/richdata2" ref="A3:N1620">
      <sortCondition sortBy="cellColor" ref="D2:D1620" dxfId="3"/>
    </sortState>
  </autoFilter>
  <sortState xmlns:xlrd2="http://schemas.microsoft.com/office/spreadsheetml/2017/richdata2" ref="A3:L402">
    <sortCondition ref="A3:A402"/>
    <sortCondition ref="G3:G402"/>
    <sortCondition ref="K3:K402"/>
    <sortCondition ref="J3:J402"/>
  </sortState>
  <mergeCells count="1">
    <mergeCell ref="P1387:P1388"/>
  </mergeCells>
  <phoneticPr fontId="28"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6A8F-4143-4433-BB7F-A3740F968AE4}">
  <sheetPr codeName="Sheet3"/>
  <dimension ref="B3:B13"/>
  <sheetViews>
    <sheetView workbookViewId="0">
      <selection activeCell="A3" sqref="A3:XFD84"/>
    </sheetView>
  </sheetViews>
  <sheetFormatPr defaultRowHeight="14.5" x14ac:dyDescent="0.35"/>
  <sheetData>
    <row r="3" spans="2:2" x14ac:dyDescent="0.35">
      <c r="B3" s="13" t="s">
        <v>1508</v>
      </c>
    </row>
    <row r="4" spans="2:2" x14ac:dyDescent="0.35">
      <c r="B4" s="60"/>
    </row>
    <row r="5" spans="2:2" x14ac:dyDescent="0.35">
      <c r="B5" s="60" t="s">
        <v>1509</v>
      </c>
    </row>
    <row r="6" spans="2:2" x14ac:dyDescent="0.35">
      <c r="B6" s="60"/>
    </row>
    <row r="7" spans="2:2" x14ac:dyDescent="0.35">
      <c r="B7" s="60"/>
    </row>
    <row r="9" spans="2:2" x14ac:dyDescent="0.35">
      <c r="B9" s="13"/>
    </row>
    <row r="10" spans="2:2" x14ac:dyDescent="0.35">
      <c r="B10" s="13"/>
    </row>
    <row r="11" spans="2:2" x14ac:dyDescent="0.35">
      <c r="B11" s="61" t="s">
        <v>1510</v>
      </c>
    </row>
    <row r="12" spans="2:2" x14ac:dyDescent="0.35">
      <c r="B12" s="62"/>
    </row>
    <row r="13" spans="2:2" ht="15" x14ac:dyDescent="0.35">
      <c r="B13" s="62" t="s">
        <v>1511</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F422-217E-49EF-9A02-2E38F0D06C0F}">
  <sheetPr codeName="Sheet4"/>
  <dimension ref="B1:H26"/>
  <sheetViews>
    <sheetView zoomScale="70" zoomScaleNormal="70" workbookViewId="0">
      <pane ySplit="1" topLeftCell="A23" activePane="bottomLeft" state="frozen"/>
      <selection activeCell="G16" sqref="G16"/>
      <selection pane="bottomLeft" sqref="A1:I1048576"/>
    </sheetView>
  </sheetViews>
  <sheetFormatPr defaultRowHeight="14.5" x14ac:dyDescent="0.35"/>
  <cols>
    <col min="1" max="1" width="4" customWidth="1"/>
    <col min="2" max="2" width="14.54296875" customWidth="1"/>
    <col min="3" max="3" width="32.453125" customWidth="1"/>
    <col min="4" max="4" width="16.81640625" style="41" customWidth="1"/>
    <col min="5" max="5" width="33.453125" style="41" customWidth="1"/>
    <col min="6" max="6" width="16.81640625" customWidth="1"/>
    <col min="7" max="7" width="33.81640625" style="41" customWidth="1"/>
    <col min="8" max="8" width="33.81640625" customWidth="1"/>
  </cols>
  <sheetData>
    <row r="1" spans="2:8" ht="29.5" thickBot="1" x14ac:dyDescent="0.4">
      <c r="B1" s="42" t="s">
        <v>5</v>
      </c>
      <c r="C1" s="43" t="s">
        <v>6</v>
      </c>
      <c r="D1" s="44" t="s">
        <v>1512</v>
      </c>
      <c r="E1" s="44" t="s">
        <v>1513</v>
      </c>
      <c r="F1" s="44" t="s">
        <v>1514</v>
      </c>
      <c r="G1" s="45" t="s">
        <v>1515</v>
      </c>
      <c r="H1" s="44" t="s">
        <v>1516</v>
      </c>
    </row>
    <row r="2" spans="2:8" ht="29.5" thickBot="1" x14ac:dyDescent="0.4">
      <c r="B2" s="46" t="s">
        <v>1517</v>
      </c>
      <c r="C2" s="47" t="s">
        <v>1518</v>
      </c>
      <c r="D2" s="47" t="s">
        <v>1519</v>
      </c>
      <c r="E2" s="47" t="s">
        <v>1520</v>
      </c>
      <c r="F2" s="46" t="s">
        <v>1521</v>
      </c>
      <c r="G2" s="47" t="s">
        <v>1522</v>
      </c>
      <c r="H2" s="47" t="s">
        <v>1523</v>
      </c>
    </row>
    <row r="3" spans="2:8" ht="29.5" thickBot="1" x14ac:dyDescent="0.4">
      <c r="B3" s="46" t="s">
        <v>673</v>
      </c>
      <c r="C3" s="46" t="s">
        <v>1524</v>
      </c>
      <c r="D3" s="47" t="s">
        <v>1519</v>
      </c>
      <c r="E3" s="47" t="s">
        <v>1520</v>
      </c>
      <c r="F3" s="46" t="s">
        <v>296</v>
      </c>
      <c r="G3" s="47" t="s">
        <v>675</v>
      </c>
      <c r="H3" s="47" t="s">
        <v>1523</v>
      </c>
    </row>
    <row r="4" spans="2:8" ht="29.5" thickBot="1" x14ac:dyDescent="0.4">
      <c r="B4" s="48" t="s">
        <v>1525</v>
      </c>
      <c r="C4" s="46" t="s">
        <v>1526</v>
      </c>
      <c r="D4" s="47" t="s">
        <v>1519</v>
      </c>
      <c r="E4" s="47" t="s">
        <v>1520</v>
      </c>
      <c r="F4" s="48" t="s">
        <v>682</v>
      </c>
      <c r="G4" s="47" t="s">
        <v>1527</v>
      </c>
      <c r="H4" s="47" t="s">
        <v>1523</v>
      </c>
    </row>
    <row r="5" spans="2:8" ht="29.5" thickBot="1" x14ac:dyDescent="0.4">
      <c r="B5" s="48" t="s">
        <v>500</v>
      </c>
      <c r="C5" s="46" t="s">
        <v>501</v>
      </c>
      <c r="D5" s="47" t="s">
        <v>1519</v>
      </c>
      <c r="E5" s="47" t="s">
        <v>1520</v>
      </c>
      <c r="F5" s="48" t="s">
        <v>503</v>
      </c>
      <c r="G5" s="47" t="s">
        <v>1528</v>
      </c>
      <c r="H5" s="47" t="s">
        <v>1523</v>
      </c>
    </row>
    <row r="6" spans="2:8" ht="29.5" thickBot="1" x14ac:dyDescent="0.4">
      <c r="B6" s="46" t="s">
        <v>716</v>
      </c>
      <c r="C6" s="47" t="s">
        <v>1529</v>
      </c>
      <c r="D6" s="47" t="s">
        <v>1519</v>
      </c>
      <c r="E6" s="47" t="s">
        <v>1520</v>
      </c>
      <c r="F6" s="46" t="s">
        <v>1530</v>
      </c>
      <c r="G6" s="47" t="s">
        <v>1531</v>
      </c>
      <c r="H6" s="47" t="s">
        <v>1523</v>
      </c>
    </row>
    <row r="7" spans="2:8" ht="29.5" thickBot="1" x14ac:dyDescent="0.4">
      <c r="B7" s="48" t="s">
        <v>1251</v>
      </c>
      <c r="C7" s="47" t="s">
        <v>1532</v>
      </c>
      <c r="D7" s="47" t="s">
        <v>1533</v>
      </c>
      <c r="E7" s="47" t="s">
        <v>1534</v>
      </c>
      <c r="F7" s="46" t="s">
        <v>1535</v>
      </c>
      <c r="G7" s="47" t="s">
        <v>1536</v>
      </c>
      <c r="H7" s="47" t="s">
        <v>1537</v>
      </c>
    </row>
    <row r="8" spans="2:8" ht="29.5" thickBot="1" x14ac:dyDescent="0.4">
      <c r="B8" s="48" t="s">
        <v>596</v>
      </c>
      <c r="C8" s="47" t="s">
        <v>597</v>
      </c>
      <c r="D8" s="47" t="s">
        <v>1533</v>
      </c>
      <c r="E8" s="47" t="s">
        <v>1538</v>
      </c>
      <c r="F8" s="46" t="s">
        <v>1538</v>
      </c>
      <c r="G8" s="47" t="s">
        <v>1538</v>
      </c>
      <c r="H8" s="47" t="s">
        <v>1539</v>
      </c>
    </row>
    <row r="9" spans="2:8" ht="29.5" thickBot="1" x14ac:dyDescent="0.4">
      <c r="B9" s="52" t="s">
        <v>1540</v>
      </c>
      <c r="C9" s="53" t="s">
        <v>536</v>
      </c>
      <c r="D9" s="53" t="s">
        <v>1533</v>
      </c>
      <c r="E9" s="53" t="s">
        <v>1534</v>
      </c>
      <c r="F9" s="52" t="s">
        <v>584</v>
      </c>
      <c r="G9" s="53" t="s">
        <v>585</v>
      </c>
      <c r="H9" s="53" t="s">
        <v>1541</v>
      </c>
    </row>
    <row r="10" spans="2:8" ht="44" thickBot="1" x14ac:dyDescent="0.4">
      <c r="B10" s="52" t="s">
        <v>1540</v>
      </c>
      <c r="C10" s="53" t="s">
        <v>536</v>
      </c>
      <c r="D10" s="53" t="s">
        <v>1533</v>
      </c>
      <c r="E10" s="53" t="s">
        <v>1534</v>
      </c>
      <c r="F10" s="54" t="s">
        <v>588</v>
      </c>
      <c r="G10" s="53" t="s">
        <v>1542</v>
      </c>
      <c r="H10" s="53" t="s">
        <v>1541</v>
      </c>
    </row>
    <row r="11" spans="2:8" ht="29.5" thickBot="1" x14ac:dyDescent="0.4">
      <c r="B11" s="49" t="s">
        <v>542</v>
      </c>
      <c r="C11" s="50" t="s">
        <v>543</v>
      </c>
      <c r="D11" s="50" t="s">
        <v>1533</v>
      </c>
      <c r="E11" s="50" t="s">
        <v>1534</v>
      </c>
      <c r="F11" s="49" t="s">
        <v>1543</v>
      </c>
      <c r="G11" s="50" t="s">
        <v>1544</v>
      </c>
      <c r="H11" s="50" t="s">
        <v>1541</v>
      </c>
    </row>
    <row r="12" spans="2:8" ht="29.5" thickBot="1" x14ac:dyDescent="0.4">
      <c r="B12" s="49" t="s">
        <v>542</v>
      </c>
      <c r="C12" s="50" t="s">
        <v>543</v>
      </c>
      <c r="D12" s="50" t="s">
        <v>1533</v>
      </c>
      <c r="E12" s="50" t="s">
        <v>1534</v>
      </c>
      <c r="F12" s="51" t="s">
        <v>1545</v>
      </c>
      <c r="G12" s="50" t="s">
        <v>1546</v>
      </c>
      <c r="H12" s="50" t="s">
        <v>1541</v>
      </c>
    </row>
    <row r="13" spans="2:8" ht="29.5" thickBot="1" x14ac:dyDescent="0.4">
      <c r="B13" s="48" t="s">
        <v>1547</v>
      </c>
      <c r="C13" s="47" t="s">
        <v>1548</v>
      </c>
      <c r="D13" s="47" t="s">
        <v>1533</v>
      </c>
      <c r="E13" s="47" t="s">
        <v>1534</v>
      </c>
      <c r="F13" s="48" t="s">
        <v>1549</v>
      </c>
      <c r="G13" s="47" t="s">
        <v>1550</v>
      </c>
      <c r="H13" s="47" t="s">
        <v>1541</v>
      </c>
    </row>
    <row r="14" spans="2:8" ht="37.4" customHeight="1" thickBot="1" x14ac:dyDescent="0.4">
      <c r="B14" s="55">
        <v>22.637004000000001</v>
      </c>
      <c r="C14" s="46" t="s">
        <v>1551</v>
      </c>
      <c r="D14" s="47" t="s">
        <v>1552</v>
      </c>
      <c r="E14" s="47" t="s">
        <v>1534</v>
      </c>
      <c r="F14" s="46"/>
      <c r="G14" s="47"/>
      <c r="H14" s="47" t="s">
        <v>1553</v>
      </c>
    </row>
    <row r="15" spans="2:8" ht="131" thickBot="1" x14ac:dyDescent="0.4">
      <c r="B15" s="46" t="s">
        <v>1554</v>
      </c>
      <c r="C15" s="46" t="s">
        <v>1555</v>
      </c>
      <c r="D15" s="47" t="s">
        <v>1556</v>
      </c>
      <c r="E15" s="47" t="s">
        <v>1534</v>
      </c>
      <c r="F15" s="46" t="s">
        <v>1557</v>
      </c>
      <c r="G15" s="47" t="s">
        <v>1558</v>
      </c>
      <c r="H15" s="47" t="s">
        <v>1559</v>
      </c>
    </row>
    <row r="16" spans="2:8" ht="131" thickBot="1" x14ac:dyDescent="0.4">
      <c r="B16" s="46" t="s">
        <v>1554</v>
      </c>
      <c r="C16" s="46" t="s">
        <v>1555</v>
      </c>
      <c r="D16" s="47" t="s">
        <v>1556</v>
      </c>
      <c r="E16" s="47" t="s">
        <v>1534</v>
      </c>
      <c r="F16" s="46" t="s">
        <v>1560</v>
      </c>
      <c r="G16" s="47" t="s">
        <v>1561</v>
      </c>
      <c r="H16" s="47" t="s">
        <v>1559</v>
      </c>
    </row>
    <row r="17" spans="2:8" ht="72.650000000000006" customHeight="1" thickBot="1" x14ac:dyDescent="0.4">
      <c r="B17" s="35" t="s">
        <v>1238</v>
      </c>
      <c r="C17" s="36" t="s">
        <v>1239</v>
      </c>
      <c r="D17" s="58" t="s">
        <v>1562</v>
      </c>
      <c r="E17" s="58" t="s">
        <v>1538</v>
      </c>
      <c r="F17" s="59"/>
      <c r="G17" s="58"/>
      <c r="H17" s="58" t="s">
        <v>1563</v>
      </c>
    </row>
    <row r="18" spans="2:8" ht="97.4" customHeight="1" thickBot="1" x14ac:dyDescent="0.4">
      <c r="B18" s="46" t="s">
        <v>575</v>
      </c>
      <c r="C18" s="46" t="s">
        <v>1564</v>
      </c>
      <c r="D18" s="47" t="s">
        <v>1565</v>
      </c>
      <c r="E18" s="47" t="s">
        <v>1566</v>
      </c>
      <c r="F18" s="46"/>
      <c r="G18" s="47"/>
      <c r="H18" s="46" t="s">
        <v>1567</v>
      </c>
    </row>
    <row r="19" spans="2:8" ht="67.5" customHeight="1" x14ac:dyDescent="0.35">
      <c r="B19" s="63" t="s">
        <v>1568</v>
      </c>
      <c r="C19" s="68" t="s">
        <v>1569</v>
      </c>
      <c r="D19" s="64" t="s">
        <v>1570</v>
      </c>
      <c r="E19" s="64" t="s">
        <v>1571</v>
      </c>
      <c r="F19" s="63" t="s">
        <v>836</v>
      </c>
      <c r="G19" s="64" t="s">
        <v>837</v>
      </c>
      <c r="H19" s="64" t="s">
        <v>1572</v>
      </c>
    </row>
    <row r="20" spans="2:8" ht="43.5" x14ac:dyDescent="0.35">
      <c r="B20" s="66">
        <v>31.84</v>
      </c>
      <c r="C20" s="65" t="s">
        <v>695</v>
      </c>
      <c r="D20" s="65" t="s">
        <v>1573</v>
      </c>
      <c r="E20" s="65" t="s">
        <v>1534</v>
      </c>
      <c r="F20" s="66">
        <v>31.56</v>
      </c>
      <c r="G20" s="65" t="s">
        <v>1574</v>
      </c>
      <c r="H20" s="65" t="s">
        <v>1575</v>
      </c>
    </row>
    <row r="26" spans="2:8" x14ac:dyDescent="0.35">
      <c r="E26" s="67"/>
    </row>
  </sheetData>
  <autoFilter ref="B1:H20" xr:uid="{61E5F331-CE97-49F0-8C29-5CC8D8616CA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F7D6-CC60-4D15-926F-FE9159803F2B}">
  <sheetPr codeName="Sheet5"/>
  <dimension ref="B3:H23"/>
  <sheetViews>
    <sheetView workbookViewId="0">
      <selection activeCell="G16" sqref="G16"/>
    </sheetView>
  </sheetViews>
  <sheetFormatPr defaultRowHeight="14.5" x14ac:dyDescent="0.35"/>
  <cols>
    <col min="2" max="2" width="21" customWidth="1"/>
    <col min="3" max="3" width="13" customWidth="1"/>
    <col min="4" max="4" width="24.1796875" customWidth="1"/>
    <col min="5" max="5" width="18" customWidth="1"/>
    <col min="6" max="6" width="22.1796875" customWidth="1"/>
    <col min="7" max="7" width="26.81640625" customWidth="1"/>
    <col min="8" max="8" width="44.81640625" customWidth="1"/>
  </cols>
  <sheetData>
    <row r="3" spans="2:8" x14ac:dyDescent="0.35">
      <c r="B3" s="33" t="s">
        <v>1576</v>
      </c>
      <c r="C3" s="33" t="s">
        <v>1577</v>
      </c>
      <c r="D3" s="33" t="s">
        <v>1578</v>
      </c>
      <c r="E3" s="33" t="s">
        <v>1579</v>
      </c>
      <c r="F3" s="33" t="s">
        <v>1580</v>
      </c>
      <c r="G3" s="33" t="s">
        <v>1581</v>
      </c>
      <c r="H3" s="33" t="s">
        <v>1582</v>
      </c>
    </row>
    <row r="4" spans="2:8" x14ac:dyDescent="0.35">
      <c r="B4" s="34"/>
      <c r="C4" s="34"/>
      <c r="D4" s="34"/>
      <c r="E4" s="34"/>
      <c r="F4" s="34"/>
      <c r="G4" s="34"/>
      <c r="H4" s="34"/>
    </row>
    <row r="5" spans="2:8" x14ac:dyDescent="0.35">
      <c r="B5" s="34"/>
      <c r="C5" s="34"/>
      <c r="D5" s="34"/>
      <c r="E5" s="34"/>
      <c r="F5" s="34"/>
      <c r="G5" s="34"/>
      <c r="H5" s="34"/>
    </row>
    <row r="6" spans="2:8" x14ac:dyDescent="0.35">
      <c r="B6" s="34"/>
      <c r="C6" s="34"/>
      <c r="D6" s="34"/>
      <c r="E6" s="34"/>
      <c r="F6" s="34"/>
      <c r="G6" s="34"/>
      <c r="H6" s="34"/>
    </row>
    <row r="7" spans="2:8" x14ac:dyDescent="0.35">
      <c r="B7" s="34"/>
      <c r="C7" s="34"/>
      <c r="D7" s="34"/>
      <c r="E7" s="34"/>
      <c r="F7" s="34"/>
      <c r="G7" s="34"/>
      <c r="H7" s="34"/>
    </row>
    <row r="8" spans="2:8" x14ac:dyDescent="0.35">
      <c r="B8" s="34"/>
      <c r="C8" s="34"/>
      <c r="D8" s="34"/>
      <c r="E8" s="34"/>
      <c r="F8" s="34"/>
      <c r="G8" s="34"/>
      <c r="H8" s="34"/>
    </row>
    <row r="9" spans="2:8" x14ac:dyDescent="0.35">
      <c r="B9" s="34"/>
      <c r="C9" s="34"/>
      <c r="D9" s="34"/>
      <c r="E9" s="34"/>
      <c r="F9" s="34"/>
      <c r="G9" s="34"/>
      <c r="H9" s="34"/>
    </row>
    <row r="10" spans="2:8" x14ac:dyDescent="0.35">
      <c r="B10" s="34"/>
      <c r="C10" s="34"/>
      <c r="D10" s="34"/>
      <c r="E10" s="34"/>
      <c r="F10" s="34"/>
      <c r="G10" s="34"/>
      <c r="H10" s="34"/>
    </row>
    <row r="11" spans="2:8" x14ac:dyDescent="0.35">
      <c r="B11" s="34"/>
      <c r="C11" s="34"/>
      <c r="D11" s="34"/>
      <c r="E11" s="34"/>
      <c r="F11" s="34"/>
      <c r="G11" s="34"/>
      <c r="H11" s="34"/>
    </row>
    <row r="12" spans="2:8" x14ac:dyDescent="0.35">
      <c r="B12" s="34"/>
      <c r="C12" s="34"/>
      <c r="D12" s="34"/>
      <c r="E12" s="34"/>
      <c r="F12" s="34"/>
      <c r="G12" s="34"/>
      <c r="H12" s="34"/>
    </row>
    <row r="13" spans="2:8" x14ac:dyDescent="0.35">
      <c r="B13" s="34"/>
      <c r="C13" s="34"/>
      <c r="D13" s="34"/>
      <c r="E13" s="34"/>
      <c r="F13" s="34"/>
      <c r="G13" s="34"/>
      <c r="H13" s="34"/>
    </row>
    <row r="14" spans="2:8" x14ac:dyDescent="0.35">
      <c r="B14" s="34"/>
      <c r="C14" s="34"/>
      <c r="D14" s="34"/>
      <c r="E14" s="34"/>
      <c r="F14" s="34"/>
      <c r="G14" s="34"/>
      <c r="H14" s="34"/>
    </row>
    <row r="15" spans="2:8" x14ac:dyDescent="0.35">
      <c r="B15" s="34"/>
      <c r="C15" s="34"/>
      <c r="D15" s="34"/>
      <c r="E15" s="34"/>
      <c r="F15" s="34"/>
      <c r="G15" s="34"/>
      <c r="H15" s="34"/>
    </row>
    <row r="16" spans="2:8" x14ac:dyDescent="0.35">
      <c r="B16" s="34"/>
      <c r="C16" s="34"/>
      <c r="D16" s="34"/>
      <c r="E16" s="34"/>
      <c r="F16" s="34"/>
      <c r="G16" s="34"/>
      <c r="H16" s="34"/>
    </row>
    <row r="17" spans="2:8" x14ac:dyDescent="0.35">
      <c r="B17" s="34"/>
      <c r="C17" s="34"/>
      <c r="D17" s="34"/>
      <c r="E17" s="34"/>
      <c r="F17" s="34"/>
      <c r="G17" s="34"/>
      <c r="H17" s="34"/>
    </row>
    <row r="18" spans="2:8" x14ac:dyDescent="0.35">
      <c r="B18" s="34"/>
      <c r="C18" s="34"/>
      <c r="D18" s="34"/>
      <c r="E18" s="34"/>
      <c r="F18" s="34"/>
      <c r="G18" s="34"/>
      <c r="H18" s="34"/>
    </row>
    <row r="19" spans="2:8" x14ac:dyDescent="0.35">
      <c r="B19" s="34"/>
      <c r="C19" s="34"/>
      <c r="D19" s="34"/>
      <c r="E19" s="34"/>
      <c r="F19" s="34"/>
      <c r="G19" s="34"/>
      <c r="H19" s="34"/>
    </row>
    <row r="20" spans="2:8" x14ac:dyDescent="0.35">
      <c r="B20" s="34"/>
      <c r="C20" s="34"/>
      <c r="D20" s="34"/>
      <c r="E20" s="34"/>
      <c r="F20" s="34"/>
      <c r="G20" s="34"/>
      <c r="H20" s="34"/>
    </row>
    <row r="21" spans="2:8" x14ac:dyDescent="0.35">
      <c r="B21" s="34"/>
      <c r="C21" s="34"/>
      <c r="D21" s="34"/>
      <c r="E21" s="34"/>
      <c r="F21" s="34"/>
      <c r="G21" s="34"/>
      <c r="H21" s="34"/>
    </row>
    <row r="22" spans="2:8" x14ac:dyDescent="0.35">
      <c r="B22" s="34"/>
      <c r="C22" s="34"/>
      <c r="D22" s="34"/>
      <c r="E22" s="34"/>
      <c r="F22" s="34"/>
      <c r="G22" s="34"/>
      <c r="H22" s="34"/>
    </row>
    <row r="23" spans="2:8" x14ac:dyDescent="0.35">
      <c r="B23" s="34"/>
      <c r="C23" s="34"/>
      <c r="D23" s="34"/>
      <c r="E23" s="34"/>
      <c r="F23" s="34"/>
      <c r="G23" s="34"/>
      <c r="H23" s="3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1D5-84C5-464B-98EB-7AB79D070072}">
  <sheetPr codeName="Sheet6">
    <tabColor rgb="FF00B050"/>
  </sheetPr>
  <dimension ref="A2:A7"/>
  <sheetViews>
    <sheetView workbookViewId="0"/>
  </sheetViews>
  <sheetFormatPr defaultRowHeight="14.5" x14ac:dyDescent="0.35"/>
  <cols>
    <col min="1" max="1" width="12.81640625" bestFit="1" customWidth="1"/>
  </cols>
  <sheetData>
    <row r="2" spans="1:1" x14ac:dyDescent="0.35">
      <c r="A2" t="s">
        <v>1583</v>
      </c>
    </row>
    <row r="3" spans="1:1" x14ac:dyDescent="0.35">
      <c r="A3" t="s">
        <v>1584</v>
      </c>
    </row>
    <row r="4" spans="1:1" x14ac:dyDescent="0.35">
      <c r="A4" t="s">
        <v>1585</v>
      </c>
    </row>
    <row r="5" spans="1:1" x14ac:dyDescent="0.35">
      <c r="A5" t="s">
        <v>1586</v>
      </c>
    </row>
    <row r="6" spans="1:1" x14ac:dyDescent="0.35">
      <c r="A6" t="s">
        <v>1587</v>
      </c>
    </row>
    <row r="7" spans="1:1" x14ac:dyDescent="0.35">
      <c r="A7" t="s">
        <v>1588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A67B-15FA-42AF-BE1E-91B445DA39F3}">
  <sheetPr codeName="Sheet7"/>
  <dimension ref="A1:G1054"/>
  <sheetViews>
    <sheetView topLeftCell="A22" workbookViewId="0">
      <selection activeCell="G16" sqref="G16"/>
    </sheetView>
  </sheetViews>
  <sheetFormatPr defaultRowHeight="14.5" x14ac:dyDescent="0.35"/>
  <cols>
    <col min="1" max="1" width="13" style="2" customWidth="1"/>
    <col min="2" max="2" width="16.54296875" style="2" bestFit="1" customWidth="1"/>
    <col min="3" max="3" width="25.1796875" style="2" customWidth="1"/>
    <col min="4" max="4" width="13.81640625" bestFit="1" customWidth="1"/>
    <col min="5" max="5" width="52.453125" bestFit="1" customWidth="1"/>
    <col min="6" max="6" width="36.81640625" bestFit="1" customWidth="1"/>
    <col min="7" max="7" width="49.81640625" customWidth="1"/>
  </cols>
  <sheetData>
    <row r="1" spans="1:3" x14ac:dyDescent="0.35">
      <c r="A1" s="1" t="s">
        <v>1589</v>
      </c>
    </row>
    <row r="3" spans="1:3" x14ac:dyDescent="0.35">
      <c r="A3" s="1" t="s">
        <v>1576</v>
      </c>
      <c r="B3" s="1" t="s">
        <v>1577</v>
      </c>
      <c r="C3" s="1" t="s">
        <v>1590</v>
      </c>
    </row>
    <row r="4" spans="1:3" x14ac:dyDescent="0.35">
      <c r="A4" s="3">
        <v>43986</v>
      </c>
      <c r="B4" s="2" t="s">
        <v>1591</v>
      </c>
      <c r="C4" s="2" t="s">
        <v>1592</v>
      </c>
    </row>
    <row r="5" spans="1:3" x14ac:dyDescent="0.35">
      <c r="A5" s="3">
        <v>43986</v>
      </c>
      <c r="B5" s="2" t="s">
        <v>1591</v>
      </c>
      <c r="C5" s="2" t="s">
        <v>1593</v>
      </c>
    </row>
    <row r="6" spans="1:3" x14ac:dyDescent="0.35">
      <c r="A6" s="3">
        <v>43986</v>
      </c>
      <c r="B6" s="2" t="s">
        <v>1591</v>
      </c>
      <c r="C6" s="2" t="s">
        <v>1594</v>
      </c>
    </row>
    <row r="7" spans="1:3" x14ac:dyDescent="0.35">
      <c r="A7" s="3">
        <v>43986</v>
      </c>
      <c r="B7" s="2" t="s">
        <v>1591</v>
      </c>
      <c r="C7" s="2" t="s">
        <v>1595</v>
      </c>
    </row>
    <row r="8" spans="1:3" x14ac:dyDescent="0.35">
      <c r="A8" s="3">
        <v>43986</v>
      </c>
      <c r="B8" s="2" t="s">
        <v>1591</v>
      </c>
      <c r="C8" s="2" t="s">
        <v>1596</v>
      </c>
    </row>
    <row r="9" spans="1:3" x14ac:dyDescent="0.35">
      <c r="A9" s="3">
        <v>43986</v>
      </c>
      <c r="B9" s="2" t="s">
        <v>1591</v>
      </c>
      <c r="C9" s="2" t="s">
        <v>1597</v>
      </c>
    </row>
    <row r="10" spans="1:3" x14ac:dyDescent="0.35">
      <c r="A10" s="3">
        <v>43986</v>
      </c>
      <c r="B10" s="2" t="s">
        <v>1591</v>
      </c>
      <c r="C10" s="2" t="s">
        <v>1598</v>
      </c>
    </row>
    <row r="11" spans="1:3" x14ac:dyDescent="0.35">
      <c r="A11" s="3">
        <v>43986</v>
      </c>
      <c r="B11" s="2" t="s">
        <v>1591</v>
      </c>
      <c r="C11" s="2" t="s">
        <v>1599</v>
      </c>
    </row>
    <row r="12" spans="1:3" x14ac:dyDescent="0.35">
      <c r="A12" s="3">
        <v>44001</v>
      </c>
      <c r="B12" s="2" t="s">
        <v>1591</v>
      </c>
      <c r="C12" s="2" t="s">
        <v>1600</v>
      </c>
    </row>
    <row r="13" spans="1:3" x14ac:dyDescent="0.35">
      <c r="A13" s="3">
        <v>44000</v>
      </c>
      <c r="B13" s="2" t="s">
        <v>1591</v>
      </c>
      <c r="C13" s="2" t="s">
        <v>1601</v>
      </c>
    </row>
    <row r="14" spans="1:3" x14ac:dyDescent="0.35">
      <c r="A14" s="3">
        <v>44000</v>
      </c>
      <c r="B14" s="2" t="s">
        <v>1591</v>
      </c>
      <c r="C14" s="2" t="s">
        <v>1602</v>
      </c>
    </row>
    <row r="15" spans="1:3" x14ac:dyDescent="0.35">
      <c r="A15" s="3">
        <v>43993</v>
      </c>
      <c r="B15" s="2" t="s">
        <v>1591</v>
      </c>
      <c r="C15" s="2" t="s">
        <v>1603</v>
      </c>
    </row>
    <row r="16" spans="1:3" x14ac:dyDescent="0.35">
      <c r="A16" s="3">
        <v>44015</v>
      </c>
      <c r="B16" s="2" t="s">
        <v>1591</v>
      </c>
      <c r="C16" s="2" t="s">
        <v>1604</v>
      </c>
    </row>
    <row r="17" spans="1:7" x14ac:dyDescent="0.35">
      <c r="A17" s="3">
        <v>44021</v>
      </c>
      <c r="B17" s="2" t="s">
        <v>1591</v>
      </c>
      <c r="C17" s="2" t="s">
        <v>1605</v>
      </c>
    </row>
    <row r="18" spans="1:7" x14ac:dyDescent="0.35">
      <c r="A18" s="3">
        <v>44020</v>
      </c>
      <c r="B18" s="2" t="s">
        <v>1591</v>
      </c>
      <c r="C18" s="2" t="s">
        <v>1606</v>
      </c>
    </row>
    <row r="19" spans="1:7" x14ac:dyDescent="0.35">
      <c r="A19" s="3">
        <v>44027</v>
      </c>
      <c r="B19" s="2" t="s">
        <v>1591</v>
      </c>
      <c r="C19" s="2" t="s">
        <v>1607</v>
      </c>
    </row>
    <row r="20" spans="1:7" x14ac:dyDescent="0.35">
      <c r="A20" s="3">
        <v>44027</v>
      </c>
      <c r="B20" s="2" t="s">
        <v>1591</v>
      </c>
      <c r="C20" s="2" t="s">
        <v>1608</v>
      </c>
    </row>
    <row r="21" spans="1:7" x14ac:dyDescent="0.35">
      <c r="A21" s="3">
        <v>44027</v>
      </c>
      <c r="B21" s="2" t="s">
        <v>1591</v>
      </c>
      <c r="C21" s="2" t="s">
        <v>1609</v>
      </c>
    </row>
    <row r="22" spans="1:7" x14ac:dyDescent="0.35">
      <c r="A22" s="3">
        <v>44027</v>
      </c>
      <c r="B22" s="2" t="s">
        <v>1591</v>
      </c>
      <c r="C22" s="2" t="s">
        <v>1610</v>
      </c>
    </row>
    <row r="23" spans="1:7" x14ac:dyDescent="0.35">
      <c r="A23" s="3">
        <v>44027</v>
      </c>
      <c r="B23" s="2" t="s">
        <v>1591</v>
      </c>
      <c r="C23" s="2" t="s">
        <v>1611</v>
      </c>
    </row>
    <row r="24" spans="1:7" x14ac:dyDescent="0.35">
      <c r="A24" s="3">
        <v>44027</v>
      </c>
      <c r="B24" s="2" t="s">
        <v>1591</v>
      </c>
      <c r="C24" s="2" t="s">
        <v>1612</v>
      </c>
    </row>
    <row r="25" spans="1:7" x14ac:dyDescent="0.35">
      <c r="A25" s="3">
        <v>44027</v>
      </c>
      <c r="B25" s="2" t="s">
        <v>1591</v>
      </c>
      <c r="C25" s="2" t="s">
        <v>1613</v>
      </c>
    </row>
    <row r="26" spans="1:7" x14ac:dyDescent="0.35">
      <c r="A26" s="3">
        <v>44028</v>
      </c>
      <c r="B26" s="2" t="s">
        <v>1591</v>
      </c>
      <c r="C26" s="2" t="s">
        <v>1614</v>
      </c>
    </row>
    <row r="27" spans="1:7" x14ac:dyDescent="0.35">
      <c r="A27" s="6" t="s">
        <v>1576</v>
      </c>
      <c r="B27" s="6" t="s">
        <v>1577</v>
      </c>
      <c r="D27" s="6" t="s">
        <v>1579</v>
      </c>
      <c r="E27" s="6" t="s">
        <v>1580</v>
      </c>
      <c r="F27" s="6" t="s">
        <v>1581</v>
      </c>
      <c r="G27" s="6" t="s">
        <v>1582</v>
      </c>
    </row>
    <row r="28" spans="1:7" s="7" customFormat="1" x14ac:dyDescent="0.35">
      <c r="A28" s="3">
        <v>44051</v>
      </c>
      <c r="B28" s="7" t="s">
        <v>1615</v>
      </c>
      <c r="C28" s="2" t="s">
        <v>1616</v>
      </c>
      <c r="D28" s="11">
        <v>51.12</v>
      </c>
      <c r="E28" s="7" t="s">
        <v>1130</v>
      </c>
      <c r="F28" s="7" t="s">
        <v>432</v>
      </c>
      <c r="G28" s="7" t="s">
        <v>1617</v>
      </c>
    </row>
    <row r="29" spans="1:7" s="7" customFormat="1" x14ac:dyDescent="0.35">
      <c r="A29" s="3">
        <v>44051</v>
      </c>
      <c r="B29" s="7" t="s">
        <v>1615</v>
      </c>
      <c r="C29" s="2" t="s">
        <v>1616</v>
      </c>
      <c r="D29" s="11" t="s">
        <v>435</v>
      </c>
      <c r="E29" s="7" t="s">
        <v>436</v>
      </c>
      <c r="F29" s="7" t="s">
        <v>437</v>
      </c>
      <c r="G29" s="7" t="s">
        <v>1617</v>
      </c>
    </row>
    <row r="30" spans="1:7" s="7" customFormat="1" x14ac:dyDescent="0.35">
      <c r="A30" s="3">
        <v>44051</v>
      </c>
      <c r="B30" s="7" t="s">
        <v>1615</v>
      </c>
      <c r="C30" s="2" t="s">
        <v>1616</v>
      </c>
      <c r="D30" s="11" t="s">
        <v>817</v>
      </c>
      <c r="E30" s="7" t="s">
        <v>818</v>
      </c>
      <c r="F30" s="7" t="s">
        <v>437</v>
      </c>
      <c r="G30" s="7" t="s">
        <v>1617</v>
      </c>
    </row>
    <row r="31" spans="1:7" s="7" customFormat="1" x14ac:dyDescent="0.35">
      <c r="A31" s="3">
        <v>44051</v>
      </c>
      <c r="B31" s="7" t="s">
        <v>1615</v>
      </c>
      <c r="C31" s="2" t="s">
        <v>1616</v>
      </c>
      <c r="D31" s="11" t="s">
        <v>1231</v>
      </c>
      <c r="E31" s="7" t="s">
        <v>1232</v>
      </c>
      <c r="F31" s="7" t="s">
        <v>1618</v>
      </c>
      <c r="G31" s="7" t="s">
        <v>1617</v>
      </c>
    </row>
    <row r="32" spans="1:7" s="7" customFormat="1" x14ac:dyDescent="0.35">
      <c r="A32" s="3">
        <v>44051</v>
      </c>
      <c r="B32" s="7" t="s">
        <v>1615</v>
      </c>
      <c r="C32" s="2" t="s">
        <v>1616</v>
      </c>
      <c r="D32" s="11" t="s">
        <v>967</v>
      </c>
      <c r="E32" s="7" t="s">
        <v>904</v>
      </c>
      <c r="F32" s="7" t="s">
        <v>432</v>
      </c>
      <c r="G32" s="7" t="s">
        <v>1617</v>
      </c>
    </row>
    <row r="33" spans="1:7" s="7" customFormat="1" x14ac:dyDescent="0.35">
      <c r="A33" s="3">
        <v>44051</v>
      </c>
      <c r="B33" s="7" t="s">
        <v>1615</v>
      </c>
      <c r="C33" s="2" t="s">
        <v>1616</v>
      </c>
      <c r="D33" s="11" t="s">
        <v>588</v>
      </c>
      <c r="E33" s="7" t="s">
        <v>589</v>
      </c>
      <c r="F33" s="7" t="s">
        <v>509</v>
      </c>
      <c r="G33" s="7" t="s">
        <v>1617</v>
      </c>
    </row>
    <row r="34" spans="1:7" s="7" customFormat="1" x14ac:dyDescent="0.35">
      <c r="A34" s="3">
        <v>44051</v>
      </c>
      <c r="B34" s="7" t="s">
        <v>1615</v>
      </c>
      <c r="C34" s="2" t="s">
        <v>1616</v>
      </c>
      <c r="D34" s="11" t="s">
        <v>264</v>
      </c>
      <c r="E34" s="7" t="s">
        <v>991</v>
      </c>
      <c r="F34" s="7" t="s">
        <v>449</v>
      </c>
      <c r="G34" s="7" t="s">
        <v>1617</v>
      </c>
    </row>
    <row r="35" spans="1:7" s="7" customFormat="1" x14ac:dyDescent="0.35">
      <c r="A35" s="3">
        <v>44051</v>
      </c>
      <c r="B35" s="7" t="s">
        <v>1615</v>
      </c>
      <c r="C35" s="2" t="s">
        <v>1616</v>
      </c>
      <c r="D35" s="11" t="s">
        <v>610</v>
      </c>
      <c r="E35" s="7" t="s">
        <v>611</v>
      </c>
      <c r="F35" s="7" t="s">
        <v>449</v>
      </c>
      <c r="G35" s="7" t="s">
        <v>1617</v>
      </c>
    </row>
    <row r="36" spans="1:7" s="9" customFormat="1" x14ac:dyDescent="0.35">
      <c r="A36" s="8">
        <v>44051</v>
      </c>
      <c r="B36" s="9" t="s">
        <v>1615</v>
      </c>
      <c r="C36" s="10" t="s">
        <v>1619</v>
      </c>
      <c r="D36" s="12" t="s">
        <v>591</v>
      </c>
      <c r="E36" s="9" t="s">
        <v>592</v>
      </c>
      <c r="F36" s="9" t="s">
        <v>1620</v>
      </c>
      <c r="G36" s="9" t="s">
        <v>1621</v>
      </c>
    </row>
    <row r="37" spans="1:7" s="7" customFormat="1" x14ac:dyDescent="0.35">
      <c r="A37" s="3">
        <v>44051</v>
      </c>
      <c r="B37" s="7" t="s">
        <v>1615</v>
      </c>
      <c r="C37" s="2" t="s">
        <v>1616</v>
      </c>
      <c r="D37" s="11" t="s">
        <v>662</v>
      </c>
      <c r="E37" s="7" t="s">
        <v>663</v>
      </c>
      <c r="F37" s="7" t="s">
        <v>1622</v>
      </c>
      <c r="G37" s="7" t="s">
        <v>1617</v>
      </c>
    </row>
    <row r="38" spans="1:7" s="7" customFormat="1" x14ac:dyDescent="0.35">
      <c r="A38" s="3">
        <v>44057</v>
      </c>
      <c r="B38" s="7" t="s">
        <v>1615</v>
      </c>
      <c r="C38" s="2" t="s">
        <v>1616</v>
      </c>
      <c r="D38" s="7" t="s">
        <v>539</v>
      </c>
      <c r="E38" s="7" t="s">
        <v>540</v>
      </c>
      <c r="F38" s="7" t="s">
        <v>1622</v>
      </c>
      <c r="G38" s="7" t="s">
        <v>1617</v>
      </c>
    </row>
    <row r="39" spans="1:7" s="14" customFormat="1" x14ac:dyDescent="0.35">
      <c r="A39" s="15">
        <v>44057</v>
      </c>
      <c r="B39" s="14" t="s">
        <v>1615</v>
      </c>
      <c r="C39" s="16" t="s">
        <v>1616</v>
      </c>
      <c r="D39" s="14" t="s">
        <v>296</v>
      </c>
      <c r="E39" s="14" t="s">
        <v>675</v>
      </c>
      <c r="F39" s="14" t="s">
        <v>449</v>
      </c>
      <c r="G39" s="14" t="s">
        <v>1617</v>
      </c>
    </row>
    <row r="40" spans="1:7" s="7" customFormat="1" x14ac:dyDescent="0.35">
      <c r="A40" s="3">
        <v>44061</v>
      </c>
      <c r="B40" s="7" t="s">
        <v>1591</v>
      </c>
      <c r="C40" s="7" t="s">
        <v>1616</v>
      </c>
      <c r="D40" s="7" t="s">
        <v>342</v>
      </c>
      <c r="E40" s="7" t="s">
        <v>1623</v>
      </c>
      <c r="F40" s="7" t="s">
        <v>1624</v>
      </c>
      <c r="G40" s="7" t="s">
        <v>1625</v>
      </c>
    </row>
    <row r="41" spans="1:7" s="7" customFormat="1" x14ac:dyDescent="0.35">
      <c r="A41" s="3">
        <v>44060</v>
      </c>
      <c r="B41" s="7" t="s">
        <v>1591</v>
      </c>
      <c r="C41" s="7" t="s">
        <v>1616</v>
      </c>
      <c r="D41" s="7" t="s">
        <v>274</v>
      </c>
      <c r="E41" s="7" t="s">
        <v>1626</v>
      </c>
      <c r="F41" s="7" t="s">
        <v>449</v>
      </c>
      <c r="G41" s="7" t="s">
        <v>1625</v>
      </c>
    </row>
    <row r="42" spans="1:7" s="7" customFormat="1" x14ac:dyDescent="0.35">
      <c r="A42" s="3">
        <v>44060</v>
      </c>
      <c r="B42" s="7" t="s">
        <v>1591</v>
      </c>
      <c r="C42" s="7" t="s">
        <v>1616</v>
      </c>
      <c r="D42" s="7" t="s">
        <v>146</v>
      </c>
      <c r="E42" s="7" t="s">
        <v>455</v>
      </c>
      <c r="F42" s="7" t="s">
        <v>449</v>
      </c>
      <c r="G42" s="7" t="s">
        <v>1617</v>
      </c>
    </row>
    <row r="43" spans="1:7" s="7" customFormat="1" x14ac:dyDescent="0.35">
      <c r="A43" s="3">
        <v>44060</v>
      </c>
      <c r="B43" s="7" t="s">
        <v>1591</v>
      </c>
      <c r="C43" s="7" t="s">
        <v>1616</v>
      </c>
      <c r="D43" s="11">
        <v>14.03</v>
      </c>
      <c r="E43" s="7" t="s">
        <v>528</v>
      </c>
      <c r="F43" s="7" t="s">
        <v>449</v>
      </c>
      <c r="G43" s="7" t="s">
        <v>1617</v>
      </c>
    </row>
    <row r="44" spans="1:7" s="7" customFormat="1" x14ac:dyDescent="0.35">
      <c r="A44" s="3">
        <v>44061</v>
      </c>
      <c r="B44" s="7" t="s">
        <v>1591</v>
      </c>
      <c r="C44" s="7" t="s">
        <v>1616</v>
      </c>
      <c r="D44" s="7" t="s">
        <v>142</v>
      </c>
      <c r="E44" s="17" t="s">
        <v>1627</v>
      </c>
      <c r="F44" s="7" t="s">
        <v>449</v>
      </c>
      <c r="G44" s="7" t="s">
        <v>1625</v>
      </c>
    </row>
    <row r="45" spans="1:7" s="7" customFormat="1" x14ac:dyDescent="0.35">
      <c r="A45" s="3">
        <v>44064</v>
      </c>
      <c r="B45" s="14" t="s">
        <v>1615</v>
      </c>
      <c r="C45" s="7" t="s">
        <v>1616</v>
      </c>
      <c r="D45" s="7" t="s">
        <v>342</v>
      </c>
      <c r="E45" s="7" t="s">
        <v>1623</v>
      </c>
      <c r="F45" s="7" t="s">
        <v>1624</v>
      </c>
      <c r="G45" s="7" t="s">
        <v>1625</v>
      </c>
    </row>
    <row r="46" spans="1:7" s="7" customFormat="1" x14ac:dyDescent="0.35">
      <c r="A46" s="3">
        <v>44064</v>
      </c>
      <c r="B46" s="14" t="s">
        <v>1615</v>
      </c>
      <c r="C46" s="7" t="s">
        <v>1616</v>
      </c>
      <c r="D46" s="7" t="s">
        <v>131</v>
      </c>
      <c r="E46" s="7" t="s">
        <v>935</v>
      </c>
      <c r="F46" s="7" t="s">
        <v>1628</v>
      </c>
      <c r="G46" s="7" t="s">
        <v>1625</v>
      </c>
    </row>
    <row r="47" spans="1:7" s="7" customFormat="1" x14ac:dyDescent="0.35">
      <c r="A47" s="3">
        <v>44067</v>
      </c>
      <c r="B47" s="14" t="s">
        <v>1615</v>
      </c>
      <c r="C47" s="7" t="s">
        <v>1616</v>
      </c>
      <c r="D47" s="7" t="s">
        <v>511</v>
      </c>
      <c r="E47" s="7" t="s">
        <v>512</v>
      </c>
      <c r="F47" s="7" t="s">
        <v>1629</v>
      </c>
      <c r="G47" s="7" t="s">
        <v>1625</v>
      </c>
    </row>
    <row r="48" spans="1:7" s="7" customFormat="1" x14ac:dyDescent="0.35">
      <c r="A48" s="3">
        <v>44076</v>
      </c>
      <c r="B48" s="7" t="s">
        <v>1615</v>
      </c>
      <c r="C48" s="7" t="s">
        <v>1616</v>
      </c>
      <c r="D48" s="7" t="s">
        <v>807</v>
      </c>
      <c r="E48" s="7" t="s">
        <v>808</v>
      </c>
      <c r="F48" s="7" t="s">
        <v>1630</v>
      </c>
      <c r="G48" s="7" t="s">
        <v>1625</v>
      </c>
    </row>
    <row r="49" spans="1:7" s="7" customFormat="1" x14ac:dyDescent="0.35">
      <c r="A49" s="3">
        <v>44088</v>
      </c>
      <c r="B49" s="7" t="s">
        <v>1615</v>
      </c>
      <c r="C49" s="7" t="s">
        <v>1616</v>
      </c>
      <c r="D49" s="7" t="s">
        <v>594</v>
      </c>
      <c r="E49" s="7" t="s">
        <v>595</v>
      </c>
      <c r="F49" s="7" t="s">
        <v>1631</v>
      </c>
      <c r="G49" s="7" t="s">
        <v>1625</v>
      </c>
    </row>
    <row r="50" spans="1:7" s="9" customFormat="1" x14ac:dyDescent="0.35">
      <c r="A50" s="8">
        <v>44088</v>
      </c>
      <c r="B50" s="9" t="s">
        <v>1615</v>
      </c>
      <c r="C50" s="10" t="s">
        <v>1619</v>
      </c>
      <c r="D50" s="12" t="s">
        <v>591</v>
      </c>
      <c r="E50" s="9" t="s">
        <v>592</v>
      </c>
      <c r="F50" s="9" t="s">
        <v>1632</v>
      </c>
      <c r="G50" s="9" t="s">
        <v>1633</v>
      </c>
    </row>
    <row r="51" spans="1:7" s="9" customFormat="1" x14ac:dyDescent="0.35">
      <c r="A51" s="8">
        <v>44088</v>
      </c>
      <c r="B51" s="9" t="s">
        <v>1615</v>
      </c>
      <c r="C51" s="10" t="s">
        <v>1619</v>
      </c>
      <c r="D51" s="9" t="s">
        <v>807</v>
      </c>
      <c r="E51" s="9" t="s">
        <v>808</v>
      </c>
      <c r="F51" s="9" t="s">
        <v>1632</v>
      </c>
      <c r="G51" s="9" t="s">
        <v>1633</v>
      </c>
    </row>
    <row r="52" spans="1:7" s="7" customFormat="1" x14ac:dyDescent="0.35">
      <c r="A52" s="3">
        <v>44088</v>
      </c>
      <c r="B52" s="7" t="s">
        <v>1615</v>
      </c>
      <c r="C52" s="7" t="s">
        <v>1616</v>
      </c>
      <c r="D52" s="7" t="s">
        <v>562</v>
      </c>
      <c r="E52" s="7" t="s">
        <v>563</v>
      </c>
      <c r="F52" s="7" t="s">
        <v>1002</v>
      </c>
      <c r="G52" s="7" t="s">
        <v>1625</v>
      </c>
    </row>
    <row r="53" spans="1:7" s="7" customFormat="1" x14ac:dyDescent="0.35">
      <c r="A53" s="3">
        <v>44091</v>
      </c>
      <c r="B53" s="7" t="s">
        <v>1615</v>
      </c>
      <c r="C53" s="7" t="s">
        <v>1616</v>
      </c>
      <c r="D53" s="7" t="s">
        <v>349</v>
      </c>
      <c r="E53" s="7" t="s">
        <v>757</v>
      </c>
      <c r="F53" s="7" t="s">
        <v>1634</v>
      </c>
      <c r="G53" s="7" t="s">
        <v>1625</v>
      </c>
    </row>
    <row r="54" spans="1:7" s="7" customFormat="1" x14ac:dyDescent="0.35">
      <c r="A54" s="3">
        <v>44091</v>
      </c>
      <c r="B54" s="7" t="s">
        <v>1615</v>
      </c>
      <c r="C54" s="7" t="s">
        <v>1616</v>
      </c>
      <c r="D54" s="7" t="s">
        <v>74</v>
      </c>
      <c r="E54" s="7" t="s">
        <v>637</v>
      </c>
      <c r="F54" s="7" t="s">
        <v>441</v>
      </c>
      <c r="G54" s="7" t="s">
        <v>1625</v>
      </c>
    </row>
    <row r="55" spans="1:7" s="7" customFormat="1" x14ac:dyDescent="0.35">
      <c r="A55" s="3">
        <v>44091</v>
      </c>
      <c r="B55" s="7" t="s">
        <v>1615</v>
      </c>
      <c r="C55" s="7" t="s">
        <v>1616</v>
      </c>
      <c r="D55" s="7" t="s">
        <v>353</v>
      </c>
      <c r="E55" s="7" t="s">
        <v>1030</v>
      </c>
      <c r="F55" s="7" t="s">
        <v>1634</v>
      </c>
      <c r="G55" s="7" t="s">
        <v>1625</v>
      </c>
    </row>
    <row r="56" spans="1:7" s="7" customFormat="1" x14ac:dyDescent="0.35">
      <c r="A56" s="3">
        <v>44091</v>
      </c>
      <c r="B56" s="7" t="s">
        <v>1615</v>
      </c>
      <c r="C56" s="7" t="s">
        <v>1616</v>
      </c>
      <c r="D56" s="7" t="s">
        <v>586</v>
      </c>
      <c r="E56" s="7" t="s">
        <v>587</v>
      </c>
      <c r="F56" s="7" t="s">
        <v>1635</v>
      </c>
      <c r="G56" s="7" t="s">
        <v>1625</v>
      </c>
    </row>
    <row r="57" spans="1:7" s="7" customFormat="1" x14ac:dyDescent="0.35">
      <c r="A57" s="3">
        <v>44096</v>
      </c>
      <c r="B57" s="7" t="s">
        <v>1615</v>
      </c>
      <c r="C57" s="7" t="s">
        <v>1616</v>
      </c>
      <c r="D57" s="7" t="s">
        <v>397</v>
      </c>
      <c r="E57" s="7" t="s">
        <v>746</v>
      </c>
      <c r="F57" s="7" t="s">
        <v>960</v>
      </c>
      <c r="G57" s="7" t="s">
        <v>1625</v>
      </c>
    </row>
    <row r="58" spans="1:7" s="7" customFormat="1" x14ac:dyDescent="0.35">
      <c r="A58" s="3">
        <v>44097</v>
      </c>
      <c r="B58" s="7" t="s">
        <v>1615</v>
      </c>
      <c r="C58" s="7" t="s">
        <v>1616</v>
      </c>
      <c r="D58" s="7" t="s">
        <v>810</v>
      </c>
      <c r="E58" s="7" t="s">
        <v>811</v>
      </c>
      <c r="F58" s="7" t="s">
        <v>552</v>
      </c>
      <c r="G58" s="7" t="s">
        <v>1625</v>
      </c>
    </row>
    <row r="59" spans="1:7" s="7" customFormat="1" x14ac:dyDescent="0.35">
      <c r="A59" s="3">
        <v>44103</v>
      </c>
      <c r="B59" s="7" t="s">
        <v>1615</v>
      </c>
      <c r="C59" s="7" t="s">
        <v>1616</v>
      </c>
      <c r="D59" s="7" t="s">
        <v>755</v>
      </c>
      <c r="E59" s="7" t="s">
        <v>756</v>
      </c>
      <c r="F59" s="7" t="s">
        <v>432</v>
      </c>
      <c r="G59" s="7" t="s">
        <v>1625</v>
      </c>
    </row>
    <row r="60" spans="1:7" s="7" customFormat="1" x14ac:dyDescent="0.35">
      <c r="A60" s="3">
        <v>44103</v>
      </c>
      <c r="B60" s="7" t="s">
        <v>1615</v>
      </c>
      <c r="C60" s="7" t="s">
        <v>1616</v>
      </c>
      <c r="D60" s="7" t="s">
        <v>286</v>
      </c>
      <c r="E60" s="7" t="s">
        <v>666</v>
      </c>
      <c r="F60" s="7" t="s">
        <v>432</v>
      </c>
      <c r="G60" s="7" t="s">
        <v>1625</v>
      </c>
    </row>
    <row r="61" spans="1:7" s="7" customFormat="1" x14ac:dyDescent="0.35">
      <c r="A61" s="3">
        <v>44107</v>
      </c>
      <c r="B61" s="7" t="s">
        <v>1615</v>
      </c>
      <c r="C61" s="7" t="s">
        <v>1616</v>
      </c>
      <c r="D61" s="7" t="s">
        <v>1235</v>
      </c>
      <c r="E61" s="7" t="s">
        <v>1236</v>
      </c>
      <c r="F61" s="7" t="s">
        <v>1636</v>
      </c>
      <c r="G61" s="7" t="s">
        <v>1625</v>
      </c>
    </row>
    <row r="62" spans="1:7" s="7" customFormat="1" x14ac:dyDescent="0.35">
      <c r="A62" s="3">
        <v>44107</v>
      </c>
      <c r="B62" s="7" t="s">
        <v>1615</v>
      </c>
      <c r="C62" s="7" t="s">
        <v>1616</v>
      </c>
      <c r="D62" s="7" t="s">
        <v>286</v>
      </c>
      <c r="E62" s="7" t="s">
        <v>666</v>
      </c>
      <c r="F62" s="7" t="s">
        <v>437</v>
      </c>
      <c r="G62" s="7" t="s">
        <v>1625</v>
      </c>
    </row>
    <row r="63" spans="1:7" s="9" customFormat="1" x14ac:dyDescent="0.35">
      <c r="A63" s="8">
        <v>44112</v>
      </c>
      <c r="B63" s="9" t="s">
        <v>1615</v>
      </c>
      <c r="C63" s="10" t="s">
        <v>1619</v>
      </c>
      <c r="D63" s="12" t="s">
        <v>621</v>
      </c>
      <c r="E63" s="9" t="s">
        <v>622</v>
      </c>
      <c r="F63" s="9" t="s">
        <v>1631</v>
      </c>
      <c r="G63" s="9" t="s">
        <v>1633</v>
      </c>
    </row>
    <row r="64" spans="1:7" s="7" customFormat="1" x14ac:dyDescent="0.35">
      <c r="A64" s="3">
        <v>44112</v>
      </c>
      <c r="B64" s="7" t="s">
        <v>1615</v>
      </c>
      <c r="C64" s="7" t="s">
        <v>1616</v>
      </c>
      <c r="D64" s="7" t="s">
        <v>1017</v>
      </c>
      <c r="E64" s="7" t="s">
        <v>1018</v>
      </c>
      <c r="F64" s="7" t="s">
        <v>1637</v>
      </c>
      <c r="G64" s="7" t="s">
        <v>1625</v>
      </c>
    </row>
    <row r="65" spans="1:7" s="7" customFormat="1" x14ac:dyDescent="0.35">
      <c r="A65" s="3">
        <v>44112</v>
      </c>
      <c r="B65" s="7" t="s">
        <v>1615</v>
      </c>
      <c r="C65" s="7" t="s">
        <v>1616</v>
      </c>
      <c r="D65" s="7" t="s">
        <v>635</v>
      </c>
      <c r="E65" s="7" t="s">
        <v>636</v>
      </c>
      <c r="F65" s="7" t="s">
        <v>1638</v>
      </c>
      <c r="G65" s="7" t="s">
        <v>1625</v>
      </c>
    </row>
    <row r="66" spans="1:7" s="9" customFormat="1" x14ac:dyDescent="0.35">
      <c r="A66" s="8">
        <v>44113</v>
      </c>
      <c r="B66" s="9" t="s">
        <v>1615</v>
      </c>
      <c r="C66" s="10" t="s">
        <v>1619</v>
      </c>
      <c r="D66" s="9" t="s">
        <v>522</v>
      </c>
      <c r="E66" s="9" t="s">
        <v>523</v>
      </c>
      <c r="F66" s="18" t="s">
        <v>590</v>
      </c>
      <c r="G66" s="9" t="s">
        <v>1633</v>
      </c>
    </row>
    <row r="67" spans="1:7" s="9" customFormat="1" x14ac:dyDescent="0.35">
      <c r="A67" s="8">
        <v>44113</v>
      </c>
      <c r="B67" s="9" t="s">
        <v>1615</v>
      </c>
      <c r="C67" s="10" t="s">
        <v>1619</v>
      </c>
      <c r="D67" s="9" t="s">
        <v>793</v>
      </c>
      <c r="E67" s="9" t="s">
        <v>794</v>
      </c>
      <c r="F67" s="18" t="s">
        <v>590</v>
      </c>
      <c r="G67" s="9" t="s">
        <v>1633</v>
      </c>
    </row>
    <row r="68" spans="1:7" s="9" customFormat="1" x14ac:dyDescent="0.35">
      <c r="A68" s="8">
        <v>44088</v>
      </c>
      <c r="B68" s="9" t="s">
        <v>1615</v>
      </c>
      <c r="C68" s="10" t="s">
        <v>1619</v>
      </c>
      <c r="D68" s="9" t="s">
        <v>807</v>
      </c>
      <c r="E68" s="9" t="s">
        <v>808</v>
      </c>
      <c r="F68" s="9" t="s">
        <v>1632</v>
      </c>
    </row>
    <row r="69" spans="1:7" s="9" customFormat="1" x14ac:dyDescent="0.35">
      <c r="A69" s="8">
        <v>44138</v>
      </c>
      <c r="B69" s="9" t="s">
        <v>1615</v>
      </c>
      <c r="C69" s="10" t="s">
        <v>1619</v>
      </c>
      <c r="D69" s="9" t="s">
        <v>813</v>
      </c>
      <c r="E69" s="9" t="s">
        <v>814</v>
      </c>
      <c r="F69" s="9" t="s">
        <v>1639</v>
      </c>
    </row>
    <row r="70" spans="1:7" s="7" customFormat="1" x14ac:dyDescent="0.35">
      <c r="A70" s="15">
        <v>44138</v>
      </c>
      <c r="B70" s="14" t="s">
        <v>1615</v>
      </c>
      <c r="C70" s="7" t="s">
        <v>1616</v>
      </c>
      <c r="D70" s="7" t="s">
        <v>235</v>
      </c>
      <c r="E70" s="7" t="s">
        <v>549</v>
      </c>
      <c r="F70" s="7" t="s">
        <v>437</v>
      </c>
    </row>
    <row r="71" spans="1:7" s="7" customFormat="1" x14ac:dyDescent="0.35">
      <c r="A71" s="15">
        <v>44138</v>
      </c>
      <c r="B71" s="14" t="s">
        <v>1615</v>
      </c>
      <c r="C71" s="7" t="s">
        <v>1616</v>
      </c>
      <c r="D71" s="7" t="s">
        <v>113</v>
      </c>
      <c r="E71" s="7" t="s">
        <v>114</v>
      </c>
      <c r="F71" s="7" t="s">
        <v>449</v>
      </c>
    </row>
    <row r="72" spans="1:7" s="7" customFormat="1" x14ac:dyDescent="0.35">
      <c r="A72" s="15">
        <v>44138</v>
      </c>
      <c r="B72" s="14" t="s">
        <v>1615</v>
      </c>
      <c r="C72" s="7" t="s">
        <v>1616</v>
      </c>
      <c r="D72" s="7" t="s">
        <v>1283</v>
      </c>
      <c r="E72" s="7" t="s">
        <v>1284</v>
      </c>
      <c r="F72" s="7" t="s">
        <v>1640</v>
      </c>
    </row>
    <row r="73" spans="1:7" s="7" customFormat="1" ht="15" thickBot="1" x14ac:dyDescent="0.4">
      <c r="A73" s="15">
        <v>44138</v>
      </c>
      <c r="B73" s="14" t="s">
        <v>1615</v>
      </c>
      <c r="C73" s="7" t="s">
        <v>1616</v>
      </c>
      <c r="D73" s="7" t="s">
        <v>168</v>
      </c>
      <c r="E73" s="7" t="s">
        <v>489</v>
      </c>
      <c r="F73" s="7" t="s">
        <v>1641</v>
      </c>
    </row>
    <row r="74" spans="1:7" s="7" customFormat="1" x14ac:dyDescent="0.35">
      <c r="A74" s="19">
        <v>44166</v>
      </c>
      <c r="B74" s="20" t="s">
        <v>1615</v>
      </c>
      <c r="C74" s="21" t="s">
        <v>1616</v>
      </c>
      <c r="D74" s="21" t="s">
        <v>69</v>
      </c>
      <c r="E74" s="21" t="s">
        <v>70</v>
      </c>
      <c r="F74" s="22" t="s">
        <v>1642</v>
      </c>
    </row>
    <row r="75" spans="1:7" s="7" customFormat="1" x14ac:dyDescent="0.35">
      <c r="A75" s="23">
        <v>44166</v>
      </c>
      <c r="B75" s="14" t="s">
        <v>1615</v>
      </c>
      <c r="C75" s="7" t="s">
        <v>1616</v>
      </c>
      <c r="D75" s="7" t="s">
        <v>1037</v>
      </c>
      <c r="E75" s="7" t="s">
        <v>1038</v>
      </c>
      <c r="F75" s="24" t="s">
        <v>1642</v>
      </c>
    </row>
    <row r="76" spans="1:7" s="9" customFormat="1" x14ac:dyDescent="0.35">
      <c r="A76" s="25">
        <v>44166</v>
      </c>
      <c r="B76" s="9" t="s">
        <v>1615</v>
      </c>
      <c r="C76" s="10" t="s">
        <v>1619</v>
      </c>
      <c r="D76" s="9" t="s">
        <v>591</v>
      </c>
      <c r="E76" s="9" t="s">
        <v>592</v>
      </c>
      <c r="F76" s="26" t="s">
        <v>1643</v>
      </c>
    </row>
    <row r="77" spans="1:7" s="9" customFormat="1" x14ac:dyDescent="0.35">
      <c r="A77" s="25">
        <v>44166</v>
      </c>
      <c r="B77" s="9" t="s">
        <v>1615</v>
      </c>
      <c r="C77" s="10" t="s">
        <v>1619</v>
      </c>
      <c r="D77" s="9" t="s">
        <v>793</v>
      </c>
      <c r="E77" s="9" t="s">
        <v>794</v>
      </c>
      <c r="F77" s="26" t="s">
        <v>1643</v>
      </c>
    </row>
    <row r="78" spans="1:7" s="7" customFormat="1" x14ac:dyDescent="0.35">
      <c r="A78" s="23">
        <v>44166</v>
      </c>
      <c r="B78" s="14" t="s">
        <v>1615</v>
      </c>
      <c r="C78" s="7" t="s">
        <v>1616</v>
      </c>
      <c r="D78" s="27">
        <v>22.607013999999999</v>
      </c>
      <c r="E78" s="7" t="s">
        <v>91</v>
      </c>
      <c r="F78" s="24" t="s">
        <v>1644</v>
      </c>
    </row>
    <row r="79" spans="1:7" s="7" customFormat="1" ht="15" thickBot="1" x14ac:dyDescent="0.4">
      <c r="A79" s="28">
        <v>44166</v>
      </c>
      <c r="B79" s="29" t="s">
        <v>1615</v>
      </c>
      <c r="C79" s="30" t="s">
        <v>1616</v>
      </c>
      <c r="D79" s="31">
        <v>22.497074999999999</v>
      </c>
      <c r="E79" s="30" t="s">
        <v>426</v>
      </c>
      <c r="F79" s="32" t="s">
        <v>1637</v>
      </c>
    </row>
    <row r="80" spans="1:7" s="7" customFormat="1" x14ac:dyDescent="0.35">
      <c r="A80" s="3"/>
    </row>
    <row r="81" spans="1:1" s="7" customFormat="1" x14ac:dyDescent="0.35">
      <c r="A81" s="3"/>
    </row>
    <row r="82" spans="1:1" s="7" customFormat="1" x14ac:dyDescent="0.35">
      <c r="A82" s="3"/>
    </row>
    <row r="83" spans="1:1" s="7" customFormat="1" x14ac:dyDescent="0.35">
      <c r="A83" s="3"/>
    </row>
    <row r="84" spans="1:1" s="7" customFormat="1" x14ac:dyDescent="0.35">
      <c r="A84" s="3"/>
    </row>
    <row r="85" spans="1:1" s="7" customFormat="1" x14ac:dyDescent="0.35">
      <c r="A85" s="3"/>
    </row>
    <row r="86" spans="1:1" s="7" customFormat="1" x14ac:dyDescent="0.35">
      <c r="A86" s="3"/>
    </row>
    <row r="87" spans="1:1" s="7" customFormat="1" x14ac:dyDescent="0.35">
      <c r="A87" s="3"/>
    </row>
    <row r="88" spans="1:1" s="7" customFormat="1" x14ac:dyDescent="0.35">
      <c r="A88" s="3"/>
    </row>
    <row r="89" spans="1:1" s="7" customFormat="1" x14ac:dyDescent="0.35">
      <c r="A89" s="3"/>
    </row>
    <row r="90" spans="1:1" s="7" customFormat="1" x14ac:dyDescent="0.35">
      <c r="A90" s="3"/>
    </row>
    <row r="91" spans="1:1" s="7" customFormat="1" x14ac:dyDescent="0.35">
      <c r="A91" s="3"/>
    </row>
    <row r="92" spans="1:1" s="7" customFormat="1" x14ac:dyDescent="0.35">
      <c r="A92" s="3"/>
    </row>
    <row r="93" spans="1:1" s="7" customFormat="1" x14ac:dyDescent="0.35">
      <c r="A93" s="3"/>
    </row>
    <row r="94" spans="1:1" s="7" customFormat="1" x14ac:dyDescent="0.35">
      <c r="A94" s="3"/>
    </row>
    <row r="95" spans="1:1" s="7" customFormat="1" x14ac:dyDescent="0.35">
      <c r="A95" s="3"/>
    </row>
    <row r="96" spans="1:1" s="7" customFormat="1" x14ac:dyDescent="0.35">
      <c r="A96" s="3"/>
    </row>
    <row r="97" spans="1:1" s="7" customFormat="1" x14ac:dyDescent="0.35">
      <c r="A97" s="3"/>
    </row>
    <row r="98" spans="1:1" s="7" customFormat="1" x14ac:dyDescent="0.35">
      <c r="A98" s="3"/>
    </row>
    <row r="99" spans="1:1" s="7" customFormat="1" x14ac:dyDescent="0.35">
      <c r="A99" s="3"/>
    </row>
    <row r="100" spans="1:1" s="7" customFormat="1" x14ac:dyDescent="0.35">
      <c r="A100" s="3"/>
    </row>
    <row r="101" spans="1:1" s="7" customFormat="1" x14ac:dyDescent="0.35">
      <c r="A101" s="3"/>
    </row>
    <row r="102" spans="1:1" s="7" customFormat="1" x14ac:dyDescent="0.35">
      <c r="A102" s="3"/>
    </row>
    <row r="103" spans="1:1" s="7" customFormat="1" x14ac:dyDescent="0.35">
      <c r="A103" s="3"/>
    </row>
    <row r="104" spans="1:1" s="7" customFormat="1" x14ac:dyDescent="0.35">
      <c r="A104" s="3"/>
    </row>
    <row r="105" spans="1:1" s="7" customFormat="1" x14ac:dyDescent="0.35">
      <c r="A105" s="3"/>
    </row>
    <row r="106" spans="1:1" s="7" customFormat="1" x14ac:dyDescent="0.35">
      <c r="A106" s="3"/>
    </row>
    <row r="107" spans="1:1" s="7" customFormat="1" x14ac:dyDescent="0.35">
      <c r="A107" s="3"/>
    </row>
    <row r="108" spans="1:1" s="7" customFormat="1" x14ac:dyDescent="0.35">
      <c r="A108" s="3"/>
    </row>
    <row r="109" spans="1:1" s="7" customFormat="1" x14ac:dyDescent="0.35">
      <c r="A109" s="3"/>
    </row>
    <row r="110" spans="1:1" s="7" customFormat="1" x14ac:dyDescent="0.35">
      <c r="A110" s="3"/>
    </row>
    <row r="111" spans="1:1" s="7" customFormat="1" x14ac:dyDescent="0.35">
      <c r="A111" s="3"/>
    </row>
    <row r="112" spans="1:1" s="7" customFormat="1" x14ac:dyDescent="0.35">
      <c r="A112" s="3"/>
    </row>
    <row r="113" spans="1:1" s="7" customFormat="1" x14ac:dyDescent="0.35">
      <c r="A113" s="3"/>
    </row>
    <row r="114" spans="1:1" s="7" customFormat="1" x14ac:dyDescent="0.35">
      <c r="A114" s="3"/>
    </row>
    <row r="115" spans="1:1" s="7" customFormat="1" x14ac:dyDescent="0.35">
      <c r="A115" s="3"/>
    </row>
    <row r="116" spans="1:1" s="7" customFormat="1" x14ac:dyDescent="0.35">
      <c r="A116" s="3"/>
    </row>
    <row r="117" spans="1:1" s="7" customFormat="1" x14ac:dyDescent="0.35">
      <c r="A117" s="3"/>
    </row>
    <row r="118" spans="1:1" s="7" customFormat="1" x14ac:dyDescent="0.35">
      <c r="A118" s="3"/>
    </row>
    <row r="119" spans="1:1" s="7" customFormat="1" x14ac:dyDescent="0.35">
      <c r="A119" s="3"/>
    </row>
    <row r="120" spans="1:1" s="7" customFormat="1" x14ac:dyDescent="0.35">
      <c r="A120" s="3"/>
    </row>
    <row r="121" spans="1:1" s="7" customFormat="1" x14ac:dyDescent="0.35">
      <c r="A121" s="3"/>
    </row>
    <row r="122" spans="1:1" s="7" customFormat="1" x14ac:dyDescent="0.35">
      <c r="A122" s="3"/>
    </row>
    <row r="123" spans="1:1" s="7" customFormat="1" x14ac:dyDescent="0.35">
      <c r="A123" s="3"/>
    </row>
    <row r="124" spans="1:1" s="7" customFormat="1" x14ac:dyDescent="0.35">
      <c r="A124" s="3"/>
    </row>
    <row r="125" spans="1:1" s="7" customFormat="1" x14ac:dyDescent="0.35">
      <c r="A125" s="3"/>
    </row>
    <row r="126" spans="1:1" s="7" customFormat="1" x14ac:dyDescent="0.35">
      <c r="A126" s="3"/>
    </row>
    <row r="127" spans="1:1" s="7" customFormat="1" x14ac:dyDescent="0.35">
      <c r="A127" s="3"/>
    </row>
    <row r="128" spans="1:1" s="7" customFormat="1" x14ac:dyDescent="0.35">
      <c r="A128" s="3"/>
    </row>
    <row r="129" spans="1:1" s="7" customFormat="1" x14ac:dyDescent="0.35">
      <c r="A129" s="3"/>
    </row>
    <row r="130" spans="1:1" s="7" customFormat="1" x14ac:dyDescent="0.35">
      <c r="A130" s="3"/>
    </row>
    <row r="131" spans="1:1" s="7" customFormat="1" x14ac:dyDescent="0.35">
      <c r="A131" s="3"/>
    </row>
    <row r="132" spans="1:1" s="7" customFormat="1" x14ac:dyDescent="0.35">
      <c r="A132" s="3"/>
    </row>
    <row r="133" spans="1:1" s="7" customFormat="1" x14ac:dyDescent="0.35">
      <c r="A133" s="3"/>
    </row>
    <row r="134" spans="1:1" s="7" customFormat="1" x14ac:dyDescent="0.35">
      <c r="A134" s="3"/>
    </row>
    <row r="135" spans="1:1" s="7" customFormat="1" x14ac:dyDescent="0.35">
      <c r="A135" s="3"/>
    </row>
    <row r="136" spans="1:1" s="7" customFormat="1" x14ac:dyDescent="0.35">
      <c r="A136" s="3"/>
    </row>
    <row r="137" spans="1:1" s="7" customFormat="1" x14ac:dyDescent="0.35">
      <c r="A137" s="3"/>
    </row>
    <row r="138" spans="1:1" s="7" customFormat="1" x14ac:dyDescent="0.35">
      <c r="A138" s="3"/>
    </row>
    <row r="139" spans="1:1" s="7" customFormat="1" x14ac:dyDescent="0.35">
      <c r="A139" s="3"/>
    </row>
    <row r="140" spans="1:1" s="7" customFormat="1" x14ac:dyDescent="0.35">
      <c r="A140" s="3"/>
    </row>
    <row r="141" spans="1:1" s="7" customFormat="1" x14ac:dyDescent="0.35">
      <c r="A141" s="3"/>
    </row>
    <row r="142" spans="1:1" s="7" customFormat="1" x14ac:dyDescent="0.35">
      <c r="A142" s="3"/>
    </row>
    <row r="143" spans="1:1" s="7" customFormat="1" x14ac:dyDescent="0.35">
      <c r="A143" s="3"/>
    </row>
    <row r="144" spans="1:1" s="7" customFormat="1" x14ac:dyDescent="0.35">
      <c r="A144" s="3"/>
    </row>
    <row r="145" spans="1:1" s="7" customFormat="1" x14ac:dyDescent="0.35">
      <c r="A145" s="3"/>
    </row>
    <row r="146" spans="1:1" s="7" customFormat="1" x14ac:dyDescent="0.35">
      <c r="A146" s="3"/>
    </row>
    <row r="147" spans="1:1" s="7" customFormat="1" x14ac:dyDescent="0.35">
      <c r="A147" s="3"/>
    </row>
    <row r="148" spans="1:1" s="7" customFormat="1" x14ac:dyDescent="0.35">
      <c r="A148" s="3"/>
    </row>
    <row r="149" spans="1:1" s="7" customFormat="1" x14ac:dyDescent="0.35">
      <c r="A149" s="3"/>
    </row>
    <row r="150" spans="1:1" s="7" customFormat="1" x14ac:dyDescent="0.35">
      <c r="A150" s="3"/>
    </row>
    <row r="151" spans="1:1" s="7" customFormat="1" x14ac:dyDescent="0.35">
      <c r="A151" s="3"/>
    </row>
    <row r="152" spans="1:1" s="7" customFormat="1" x14ac:dyDescent="0.35">
      <c r="A152" s="3"/>
    </row>
    <row r="153" spans="1:1" s="7" customFormat="1" x14ac:dyDescent="0.35">
      <c r="A153" s="3"/>
    </row>
    <row r="154" spans="1:1" s="7" customFormat="1" x14ac:dyDescent="0.35">
      <c r="A154" s="3"/>
    </row>
    <row r="155" spans="1:1" s="7" customFormat="1" x14ac:dyDescent="0.35">
      <c r="A155" s="3"/>
    </row>
    <row r="156" spans="1:1" s="7" customFormat="1" x14ac:dyDescent="0.35">
      <c r="A156" s="3"/>
    </row>
    <row r="157" spans="1:1" s="7" customFormat="1" x14ac:dyDescent="0.35">
      <c r="A157" s="3"/>
    </row>
    <row r="158" spans="1:1" s="7" customFormat="1" x14ac:dyDescent="0.35">
      <c r="A158" s="3"/>
    </row>
    <row r="159" spans="1:1" s="7" customFormat="1" x14ac:dyDescent="0.35">
      <c r="A159" s="3"/>
    </row>
    <row r="160" spans="1:1" s="7" customFormat="1" x14ac:dyDescent="0.35">
      <c r="A160" s="3"/>
    </row>
    <row r="161" spans="1:1" s="7" customFormat="1" x14ac:dyDescent="0.35">
      <c r="A161" s="3"/>
    </row>
    <row r="162" spans="1:1" s="7" customFormat="1" x14ac:dyDescent="0.35">
      <c r="A162" s="3"/>
    </row>
    <row r="163" spans="1:1" s="7" customFormat="1" x14ac:dyDescent="0.35">
      <c r="A163" s="3"/>
    </row>
    <row r="164" spans="1:1" s="7" customFormat="1" x14ac:dyDescent="0.35">
      <c r="A164" s="3"/>
    </row>
    <row r="165" spans="1:1" s="7" customFormat="1" x14ac:dyDescent="0.35">
      <c r="A165" s="3"/>
    </row>
    <row r="166" spans="1:1" s="7" customFormat="1" x14ac:dyDescent="0.35">
      <c r="A166" s="3"/>
    </row>
    <row r="167" spans="1:1" s="7" customFormat="1" x14ac:dyDescent="0.35">
      <c r="A167" s="3"/>
    </row>
    <row r="168" spans="1:1" s="7" customFormat="1" x14ac:dyDescent="0.35">
      <c r="A168" s="3"/>
    </row>
    <row r="169" spans="1:1" s="7" customFormat="1" x14ac:dyDescent="0.35">
      <c r="A169" s="3"/>
    </row>
    <row r="170" spans="1:1" s="7" customFormat="1" x14ac:dyDescent="0.35">
      <c r="A170" s="3"/>
    </row>
    <row r="171" spans="1:1" s="7" customFormat="1" x14ac:dyDescent="0.35">
      <c r="A171" s="3"/>
    </row>
    <row r="172" spans="1:1" s="7" customFormat="1" x14ac:dyDescent="0.35">
      <c r="A172" s="3"/>
    </row>
    <row r="173" spans="1:1" s="7" customFormat="1" x14ac:dyDescent="0.35">
      <c r="A173" s="3"/>
    </row>
    <row r="174" spans="1:1" s="7" customFormat="1" x14ac:dyDescent="0.35">
      <c r="A174" s="3"/>
    </row>
    <row r="175" spans="1:1" s="7" customFormat="1" x14ac:dyDescent="0.35">
      <c r="A175" s="3"/>
    </row>
    <row r="176" spans="1:1" s="7" customFormat="1" x14ac:dyDescent="0.35">
      <c r="A176" s="3"/>
    </row>
    <row r="177" spans="1:1" s="7" customFormat="1" x14ac:dyDescent="0.35">
      <c r="A177" s="3"/>
    </row>
    <row r="178" spans="1:1" s="7" customFormat="1" x14ac:dyDescent="0.35">
      <c r="A178" s="3"/>
    </row>
    <row r="179" spans="1:1" s="7" customFormat="1" x14ac:dyDescent="0.35">
      <c r="A179" s="3"/>
    </row>
    <row r="180" spans="1:1" s="7" customFormat="1" x14ac:dyDescent="0.35">
      <c r="A180" s="3"/>
    </row>
    <row r="181" spans="1:1" s="7" customFormat="1" x14ac:dyDescent="0.35">
      <c r="A181" s="3"/>
    </row>
    <row r="182" spans="1:1" s="7" customFormat="1" x14ac:dyDescent="0.35">
      <c r="A182" s="3"/>
    </row>
    <row r="183" spans="1:1" s="7" customFormat="1" x14ac:dyDescent="0.35">
      <c r="A183" s="3"/>
    </row>
    <row r="184" spans="1:1" s="7" customFormat="1" x14ac:dyDescent="0.35">
      <c r="A184" s="3"/>
    </row>
    <row r="185" spans="1:1" s="7" customFormat="1" x14ac:dyDescent="0.35">
      <c r="A185" s="3"/>
    </row>
    <row r="186" spans="1:1" s="7" customFormat="1" x14ac:dyDescent="0.35">
      <c r="A186" s="3"/>
    </row>
    <row r="187" spans="1:1" s="7" customFormat="1" x14ac:dyDescent="0.35">
      <c r="A187" s="3"/>
    </row>
    <row r="188" spans="1:1" s="7" customFormat="1" x14ac:dyDescent="0.35">
      <c r="A188" s="3"/>
    </row>
    <row r="189" spans="1:1" s="7" customFormat="1" x14ac:dyDescent="0.35">
      <c r="A189" s="3"/>
    </row>
    <row r="190" spans="1:1" s="7" customFormat="1" x14ac:dyDescent="0.35">
      <c r="A190" s="3"/>
    </row>
    <row r="191" spans="1:1" s="7" customFormat="1" x14ac:dyDescent="0.35">
      <c r="A191" s="3"/>
    </row>
    <row r="192" spans="1:1" s="7" customFormat="1" x14ac:dyDescent="0.35">
      <c r="A192" s="3"/>
    </row>
    <row r="193" spans="1:1" s="7" customFormat="1" x14ac:dyDescent="0.35">
      <c r="A193" s="3"/>
    </row>
    <row r="194" spans="1:1" s="7" customFormat="1" x14ac:dyDescent="0.35">
      <c r="A194" s="3"/>
    </row>
    <row r="195" spans="1:1" s="7" customFormat="1" x14ac:dyDescent="0.35">
      <c r="A195" s="3"/>
    </row>
    <row r="196" spans="1:1" s="7" customFormat="1" x14ac:dyDescent="0.35">
      <c r="A196" s="3"/>
    </row>
    <row r="197" spans="1:1" s="7" customFormat="1" x14ac:dyDescent="0.35">
      <c r="A197" s="3"/>
    </row>
    <row r="198" spans="1:1" s="7" customFormat="1" x14ac:dyDescent="0.35">
      <c r="A198" s="3"/>
    </row>
    <row r="199" spans="1:1" s="7" customFormat="1" x14ac:dyDescent="0.35">
      <c r="A199" s="3"/>
    </row>
    <row r="200" spans="1:1" s="7" customFormat="1" x14ac:dyDescent="0.35">
      <c r="A200" s="3"/>
    </row>
    <row r="201" spans="1:1" s="7" customFormat="1" x14ac:dyDescent="0.35">
      <c r="A201" s="3"/>
    </row>
    <row r="202" spans="1:1" s="7" customFormat="1" x14ac:dyDescent="0.35">
      <c r="A202" s="3"/>
    </row>
    <row r="203" spans="1:1" s="7" customFormat="1" x14ac:dyDescent="0.35">
      <c r="A203" s="3"/>
    </row>
    <row r="204" spans="1:1" s="7" customFormat="1" x14ac:dyDescent="0.35">
      <c r="A204" s="3"/>
    </row>
    <row r="205" spans="1:1" s="7" customFormat="1" x14ac:dyDescent="0.35">
      <c r="A205" s="3"/>
    </row>
    <row r="206" spans="1:1" s="7" customFormat="1" x14ac:dyDescent="0.35">
      <c r="A206" s="3"/>
    </row>
    <row r="207" spans="1:1" s="7" customFormat="1" x14ac:dyDescent="0.35">
      <c r="A207" s="3"/>
    </row>
    <row r="208" spans="1:1" s="7" customFormat="1" x14ac:dyDescent="0.35">
      <c r="A208" s="3"/>
    </row>
    <row r="209" spans="1:1" s="7" customFormat="1" x14ac:dyDescent="0.35">
      <c r="A209" s="3"/>
    </row>
    <row r="210" spans="1:1" s="7" customFormat="1" x14ac:dyDescent="0.35">
      <c r="A210" s="3"/>
    </row>
    <row r="211" spans="1:1" s="7" customFormat="1" x14ac:dyDescent="0.35">
      <c r="A211" s="3"/>
    </row>
    <row r="212" spans="1:1" s="7" customFormat="1" x14ac:dyDescent="0.35">
      <c r="A212" s="3"/>
    </row>
    <row r="213" spans="1:1" s="7" customFormat="1" x14ac:dyDescent="0.35">
      <c r="A213" s="3"/>
    </row>
    <row r="214" spans="1:1" s="7" customFormat="1" x14ac:dyDescent="0.35">
      <c r="A214" s="3"/>
    </row>
    <row r="215" spans="1:1" s="7" customFormat="1" x14ac:dyDescent="0.35">
      <c r="A215" s="3"/>
    </row>
    <row r="216" spans="1:1" s="7" customFormat="1" x14ac:dyDescent="0.35">
      <c r="A216" s="3"/>
    </row>
    <row r="217" spans="1:1" s="7" customFormat="1" x14ac:dyDescent="0.35">
      <c r="A217" s="3"/>
    </row>
    <row r="218" spans="1:1" s="7" customFormat="1" x14ac:dyDescent="0.35">
      <c r="A218" s="3"/>
    </row>
    <row r="219" spans="1:1" s="7" customFormat="1" x14ac:dyDescent="0.35">
      <c r="A219" s="3"/>
    </row>
    <row r="220" spans="1:1" s="7" customFormat="1" x14ac:dyDescent="0.35">
      <c r="A220" s="3"/>
    </row>
    <row r="221" spans="1:1" s="7" customFormat="1" x14ac:dyDescent="0.35">
      <c r="A221" s="3"/>
    </row>
    <row r="222" spans="1:1" s="7" customFormat="1" x14ac:dyDescent="0.35">
      <c r="A222" s="3"/>
    </row>
    <row r="223" spans="1:1" s="7" customFormat="1" x14ac:dyDescent="0.35">
      <c r="A223" s="3"/>
    </row>
    <row r="224" spans="1:1" s="7" customFormat="1" x14ac:dyDescent="0.35">
      <c r="A224" s="3"/>
    </row>
    <row r="225" spans="1:1" s="7" customFormat="1" x14ac:dyDescent="0.35">
      <c r="A225" s="3"/>
    </row>
    <row r="226" spans="1:1" s="7" customFormat="1" x14ac:dyDescent="0.35">
      <c r="A226" s="3"/>
    </row>
    <row r="227" spans="1:1" s="7" customFormat="1" x14ac:dyDescent="0.35">
      <c r="A227" s="3"/>
    </row>
    <row r="228" spans="1:1" s="7" customFormat="1" x14ac:dyDescent="0.35">
      <c r="A228" s="3"/>
    </row>
    <row r="229" spans="1:1" s="7" customFormat="1" x14ac:dyDescent="0.35">
      <c r="A229" s="3"/>
    </row>
    <row r="230" spans="1:1" s="7" customFormat="1" x14ac:dyDescent="0.35">
      <c r="A230" s="3"/>
    </row>
    <row r="231" spans="1:1" s="7" customFormat="1" x14ac:dyDescent="0.35">
      <c r="A231" s="3"/>
    </row>
    <row r="232" spans="1:1" s="7" customFormat="1" x14ac:dyDescent="0.35">
      <c r="A232" s="3"/>
    </row>
    <row r="233" spans="1:1" s="7" customFormat="1" x14ac:dyDescent="0.35">
      <c r="A233" s="3"/>
    </row>
    <row r="234" spans="1:1" s="7" customFormat="1" x14ac:dyDescent="0.35">
      <c r="A234" s="3"/>
    </row>
    <row r="235" spans="1:1" s="7" customFormat="1" x14ac:dyDescent="0.35">
      <c r="A235" s="3"/>
    </row>
    <row r="236" spans="1:1" s="7" customFormat="1" x14ac:dyDescent="0.35">
      <c r="A236" s="3"/>
    </row>
    <row r="237" spans="1:1" s="7" customFormat="1" x14ac:dyDescent="0.35">
      <c r="A237" s="3"/>
    </row>
    <row r="238" spans="1:1" s="4" customFormat="1" x14ac:dyDescent="0.35">
      <c r="A238" s="5"/>
    </row>
    <row r="239" spans="1:1" s="4" customFormat="1" x14ac:dyDescent="0.35">
      <c r="A239" s="5"/>
    </row>
    <row r="240" spans="1:1" s="4" customFormat="1" x14ac:dyDescent="0.35">
      <c r="A240" s="5"/>
    </row>
    <row r="241" spans="1:1" s="4" customFormat="1" x14ac:dyDescent="0.35">
      <c r="A241" s="5"/>
    </row>
    <row r="242" spans="1:1" s="4" customFormat="1" x14ac:dyDescent="0.35">
      <c r="A242" s="5"/>
    </row>
    <row r="243" spans="1:1" s="4" customFormat="1" x14ac:dyDescent="0.35">
      <c r="A243" s="5"/>
    </row>
    <row r="244" spans="1:1" s="4" customFormat="1" x14ac:dyDescent="0.35">
      <c r="A244" s="5"/>
    </row>
    <row r="245" spans="1:1" s="4" customFormat="1" x14ac:dyDescent="0.35">
      <c r="A245" s="5"/>
    </row>
    <row r="246" spans="1:1" s="4" customFormat="1" x14ac:dyDescent="0.35">
      <c r="A246" s="5"/>
    </row>
    <row r="247" spans="1:1" s="4" customFormat="1" x14ac:dyDescent="0.35">
      <c r="A247" s="5"/>
    </row>
    <row r="248" spans="1:1" s="4" customFormat="1" x14ac:dyDescent="0.35">
      <c r="A248" s="5"/>
    </row>
    <row r="249" spans="1:1" s="4" customFormat="1" x14ac:dyDescent="0.35">
      <c r="A249" s="5"/>
    </row>
    <row r="250" spans="1:1" s="4" customFormat="1" x14ac:dyDescent="0.35">
      <c r="A250" s="5"/>
    </row>
    <row r="251" spans="1:1" s="4" customFormat="1" x14ac:dyDescent="0.35">
      <c r="A251" s="5"/>
    </row>
    <row r="252" spans="1:1" s="4" customFormat="1" x14ac:dyDescent="0.35">
      <c r="A252" s="5"/>
    </row>
    <row r="253" spans="1:1" s="4" customFormat="1" x14ac:dyDescent="0.35">
      <c r="A253" s="5"/>
    </row>
    <row r="254" spans="1:1" s="4" customFormat="1" x14ac:dyDescent="0.35">
      <c r="A254" s="5"/>
    </row>
    <row r="255" spans="1:1" s="4" customFormat="1" x14ac:dyDescent="0.35">
      <c r="A255" s="5"/>
    </row>
    <row r="256" spans="1:1" s="4" customFormat="1" x14ac:dyDescent="0.35">
      <c r="A256" s="5"/>
    </row>
    <row r="257" spans="1:1" s="4" customFormat="1" x14ac:dyDescent="0.35">
      <c r="A257" s="5"/>
    </row>
    <row r="258" spans="1:1" s="4" customFormat="1" x14ac:dyDescent="0.35">
      <c r="A258" s="5"/>
    </row>
    <row r="259" spans="1:1" s="4" customFormat="1" x14ac:dyDescent="0.35">
      <c r="A259" s="5"/>
    </row>
    <row r="260" spans="1:1" s="4" customFormat="1" x14ac:dyDescent="0.35">
      <c r="A260" s="5"/>
    </row>
    <row r="261" spans="1:1" s="4" customFormat="1" x14ac:dyDescent="0.35">
      <c r="A261" s="5"/>
    </row>
    <row r="262" spans="1:1" s="4" customFormat="1" x14ac:dyDescent="0.35">
      <c r="A262" s="5"/>
    </row>
    <row r="263" spans="1:1" s="4" customFormat="1" x14ac:dyDescent="0.35">
      <c r="A263" s="5"/>
    </row>
    <row r="264" spans="1:1" s="4" customFormat="1" x14ac:dyDescent="0.35">
      <c r="A264" s="5"/>
    </row>
    <row r="265" spans="1:1" s="4" customFormat="1" x14ac:dyDescent="0.35">
      <c r="A265" s="5"/>
    </row>
    <row r="266" spans="1:1" s="4" customFormat="1" x14ac:dyDescent="0.35">
      <c r="A266" s="5"/>
    </row>
    <row r="267" spans="1:1" s="4" customFormat="1" x14ac:dyDescent="0.35">
      <c r="A267" s="5"/>
    </row>
    <row r="268" spans="1:1" s="4" customFormat="1" x14ac:dyDescent="0.35">
      <c r="A268" s="5"/>
    </row>
    <row r="269" spans="1:1" s="4" customFormat="1" x14ac:dyDescent="0.35">
      <c r="A269" s="5"/>
    </row>
    <row r="270" spans="1:1" s="4" customFormat="1" x14ac:dyDescent="0.35">
      <c r="A270" s="5"/>
    </row>
    <row r="271" spans="1:1" s="4" customFormat="1" x14ac:dyDescent="0.35">
      <c r="A271" s="5"/>
    </row>
    <row r="272" spans="1:1" s="4" customFormat="1" x14ac:dyDescent="0.35">
      <c r="A272" s="5"/>
    </row>
    <row r="273" spans="1:1" s="4" customFormat="1" x14ac:dyDescent="0.35">
      <c r="A273" s="5"/>
    </row>
    <row r="274" spans="1:1" s="4" customFormat="1" x14ac:dyDescent="0.35">
      <c r="A274" s="5"/>
    </row>
    <row r="275" spans="1:1" s="4" customFormat="1" x14ac:dyDescent="0.35">
      <c r="A275" s="5"/>
    </row>
    <row r="276" spans="1:1" s="4" customFormat="1" x14ac:dyDescent="0.35">
      <c r="A276" s="5"/>
    </row>
    <row r="277" spans="1:1" s="4" customFormat="1" x14ac:dyDescent="0.35">
      <c r="A277" s="5"/>
    </row>
    <row r="278" spans="1:1" s="4" customFormat="1" x14ac:dyDescent="0.35">
      <c r="A278" s="5"/>
    </row>
    <row r="279" spans="1:1" s="4" customFormat="1" x14ac:dyDescent="0.35">
      <c r="A279" s="5"/>
    </row>
    <row r="280" spans="1:1" s="4" customFormat="1" x14ac:dyDescent="0.35">
      <c r="A280" s="5"/>
    </row>
    <row r="281" spans="1:1" s="4" customFormat="1" x14ac:dyDescent="0.35">
      <c r="A281" s="5"/>
    </row>
    <row r="282" spans="1:1" s="4" customFormat="1" x14ac:dyDescent="0.35">
      <c r="A282" s="5"/>
    </row>
    <row r="283" spans="1:1" s="4" customFormat="1" x14ac:dyDescent="0.35">
      <c r="A283" s="5"/>
    </row>
    <row r="284" spans="1:1" s="4" customFormat="1" x14ac:dyDescent="0.35">
      <c r="A284" s="5"/>
    </row>
    <row r="285" spans="1:1" s="4" customFormat="1" x14ac:dyDescent="0.35">
      <c r="A285" s="5"/>
    </row>
    <row r="286" spans="1:1" s="4" customFormat="1" x14ac:dyDescent="0.35">
      <c r="A286" s="5"/>
    </row>
    <row r="287" spans="1:1" s="4" customFormat="1" x14ac:dyDescent="0.35">
      <c r="A287" s="5"/>
    </row>
    <row r="288" spans="1:1" s="4" customFormat="1" x14ac:dyDescent="0.35">
      <c r="A288" s="5"/>
    </row>
    <row r="289" spans="1:1" s="4" customFormat="1" x14ac:dyDescent="0.35">
      <c r="A289" s="5"/>
    </row>
    <row r="290" spans="1:1" s="4" customFormat="1" x14ac:dyDescent="0.35">
      <c r="A290" s="5"/>
    </row>
    <row r="291" spans="1:1" s="4" customFormat="1" x14ac:dyDescent="0.35">
      <c r="A291" s="5"/>
    </row>
    <row r="292" spans="1:1" s="4" customFormat="1" x14ac:dyDescent="0.35">
      <c r="A292" s="5"/>
    </row>
    <row r="293" spans="1:1" s="4" customFormat="1" x14ac:dyDescent="0.35">
      <c r="A293" s="5"/>
    </row>
    <row r="294" spans="1:1" s="4" customFormat="1" x14ac:dyDescent="0.35">
      <c r="A294" s="5"/>
    </row>
    <row r="295" spans="1:1" s="4" customFormat="1" x14ac:dyDescent="0.35">
      <c r="A295" s="5"/>
    </row>
    <row r="296" spans="1:1" s="4" customFormat="1" x14ac:dyDescent="0.35">
      <c r="A296" s="5"/>
    </row>
    <row r="297" spans="1:1" s="4" customFormat="1" x14ac:dyDescent="0.35">
      <c r="A297" s="5"/>
    </row>
    <row r="298" spans="1:1" s="4" customFormat="1" x14ac:dyDescent="0.35">
      <c r="A298" s="5"/>
    </row>
    <row r="299" spans="1:1" s="4" customFormat="1" x14ac:dyDescent="0.35">
      <c r="A299" s="5"/>
    </row>
    <row r="300" spans="1:1" s="4" customFormat="1" x14ac:dyDescent="0.35">
      <c r="A300" s="5"/>
    </row>
    <row r="301" spans="1:1" s="4" customFormat="1" x14ac:dyDescent="0.35">
      <c r="A301" s="5"/>
    </row>
    <row r="302" spans="1:1" s="4" customFormat="1" x14ac:dyDescent="0.35">
      <c r="A302" s="5"/>
    </row>
    <row r="303" spans="1:1" s="4" customFormat="1" x14ac:dyDescent="0.35">
      <c r="A303" s="5"/>
    </row>
    <row r="304" spans="1:1" s="4" customFormat="1" x14ac:dyDescent="0.35">
      <c r="A304" s="5"/>
    </row>
    <row r="305" spans="1:1" s="4" customFormat="1" x14ac:dyDescent="0.35">
      <c r="A305" s="5"/>
    </row>
    <row r="306" spans="1:1" s="4" customFormat="1" x14ac:dyDescent="0.35">
      <c r="A306" s="5"/>
    </row>
    <row r="307" spans="1:1" s="4" customFormat="1" x14ac:dyDescent="0.35">
      <c r="A307" s="5"/>
    </row>
    <row r="308" spans="1:1" s="4" customFormat="1" x14ac:dyDescent="0.35">
      <c r="A308" s="5"/>
    </row>
    <row r="309" spans="1:1" s="4" customFormat="1" x14ac:dyDescent="0.35">
      <c r="A309" s="5"/>
    </row>
    <row r="310" spans="1:1" s="4" customFormat="1" x14ac:dyDescent="0.35">
      <c r="A310" s="5"/>
    </row>
    <row r="311" spans="1:1" s="4" customFormat="1" x14ac:dyDescent="0.35">
      <c r="A311" s="5"/>
    </row>
    <row r="312" spans="1:1" s="4" customFormat="1" x14ac:dyDescent="0.35">
      <c r="A312" s="5"/>
    </row>
    <row r="313" spans="1:1" s="4" customFormat="1" x14ac:dyDescent="0.35">
      <c r="A313" s="5"/>
    </row>
    <row r="314" spans="1:1" s="4" customFormat="1" x14ac:dyDescent="0.35">
      <c r="A314" s="5"/>
    </row>
    <row r="315" spans="1:1" s="4" customFormat="1" x14ac:dyDescent="0.35">
      <c r="A315" s="5"/>
    </row>
    <row r="316" spans="1:1" s="4" customFormat="1" x14ac:dyDescent="0.35">
      <c r="A316" s="5"/>
    </row>
    <row r="317" spans="1:1" s="4" customFormat="1" x14ac:dyDescent="0.35">
      <c r="A317" s="5"/>
    </row>
    <row r="318" spans="1:1" s="4" customFormat="1" x14ac:dyDescent="0.35">
      <c r="A318" s="5"/>
    </row>
    <row r="319" spans="1:1" s="4" customFormat="1" x14ac:dyDescent="0.35">
      <c r="A319" s="5"/>
    </row>
    <row r="320" spans="1:1" s="4" customFormat="1" x14ac:dyDescent="0.35">
      <c r="A320" s="5"/>
    </row>
    <row r="321" spans="1:1" s="4" customFormat="1" x14ac:dyDescent="0.35">
      <c r="A321" s="5"/>
    </row>
    <row r="322" spans="1:1" s="4" customFormat="1" x14ac:dyDescent="0.35">
      <c r="A322" s="5"/>
    </row>
    <row r="323" spans="1:1" s="4" customFormat="1" x14ac:dyDescent="0.35">
      <c r="A323" s="5"/>
    </row>
    <row r="324" spans="1:1" s="4" customFormat="1" x14ac:dyDescent="0.35">
      <c r="A324" s="5"/>
    </row>
    <row r="325" spans="1:1" s="4" customFormat="1" x14ac:dyDescent="0.35">
      <c r="A325" s="5"/>
    </row>
    <row r="326" spans="1:1" s="4" customFormat="1" x14ac:dyDescent="0.35">
      <c r="A326" s="5"/>
    </row>
    <row r="327" spans="1:1" s="4" customFormat="1" x14ac:dyDescent="0.35">
      <c r="A327" s="5"/>
    </row>
    <row r="328" spans="1:1" s="4" customFormat="1" x14ac:dyDescent="0.35">
      <c r="A328" s="5"/>
    </row>
    <row r="329" spans="1:1" s="4" customFormat="1" x14ac:dyDescent="0.35">
      <c r="A329" s="5"/>
    </row>
    <row r="330" spans="1:1" s="4" customFormat="1" x14ac:dyDescent="0.35">
      <c r="A330" s="5"/>
    </row>
    <row r="331" spans="1:1" s="4" customFormat="1" x14ac:dyDescent="0.35">
      <c r="A331" s="5"/>
    </row>
    <row r="332" spans="1:1" s="4" customFormat="1" x14ac:dyDescent="0.35">
      <c r="A332" s="5"/>
    </row>
    <row r="333" spans="1:1" s="4" customFormat="1" x14ac:dyDescent="0.35">
      <c r="A333" s="5"/>
    </row>
    <row r="334" spans="1:1" s="4" customFormat="1" x14ac:dyDescent="0.35">
      <c r="A334" s="5"/>
    </row>
    <row r="335" spans="1:1" s="4" customFormat="1" x14ac:dyDescent="0.35">
      <c r="A335" s="5"/>
    </row>
    <row r="336" spans="1:1" s="4" customFormat="1" x14ac:dyDescent="0.35">
      <c r="A336" s="5"/>
    </row>
    <row r="337" spans="1:1" s="4" customFormat="1" x14ac:dyDescent="0.35">
      <c r="A337" s="5"/>
    </row>
    <row r="338" spans="1:1" s="4" customFormat="1" x14ac:dyDescent="0.35">
      <c r="A338" s="5"/>
    </row>
    <row r="339" spans="1:1" s="4" customFormat="1" x14ac:dyDescent="0.35">
      <c r="A339" s="5"/>
    </row>
    <row r="340" spans="1:1" s="4" customFormat="1" x14ac:dyDescent="0.35">
      <c r="A340" s="5"/>
    </row>
    <row r="341" spans="1:1" s="4" customFormat="1" x14ac:dyDescent="0.35">
      <c r="A341" s="5"/>
    </row>
    <row r="342" spans="1:1" s="4" customFormat="1" x14ac:dyDescent="0.35">
      <c r="A342" s="5"/>
    </row>
    <row r="343" spans="1:1" s="4" customFormat="1" x14ac:dyDescent="0.35">
      <c r="A343" s="5"/>
    </row>
    <row r="344" spans="1:1" s="4" customFormat="1" x14ac:dyDescent="0.35">
      <c r="A344" s="5"/>
    </row>
    <row r="345" spans="1:1" s="4" customFormat="1" x14ac:dyDescent="0.35">
      <c r="A345" s="5"/>
    </row>
    <row r="346" spans="1:1" s="4" customFormat="1" x14ac:dyDescent="0.35">
      <c r="A346" s="5"/>
    </row>
    <row r="347" spans="1:1" s="4" customFormat="1" x14ac:dyDescent="0.35">
      <c r="A347" s="5"/>
    </row>
    <row r="348" spans="1:1" s="4" customFormat="1" x14ac:dyDescent="0.35">
      <c r="A348" s="5"/>
    </row>
    <row r="349" spans="1:1" s="4" customFormat="1" x14ac:dyDescent="0.35">
      <c r="A349" s="5"/>
    </row>
    <row r="350" spans="1:1" s="4" customFormat="1" x14ac:dyDescent="0.35">
      <c r="A350" s="5"/>
    </row>
    <row r="351" spans="1:1" s="4" customFormat="1" x14ac:dyDescent="0.35">
      <c r="A351" s="5"/>
    </row>
    <row r="352" spans="1:1" s="4" customFormat="1" x14ac:dyDescent="0.35">
      <c r="A352" s="5"/>
    </row>
    <row r="353" spans="1:1" s="4" customFormat="1" x14ac:dyDescent="0.35">
      <c r="A353" s="5"/>
    </row>
    <row r="354" spans="1:1" s="4" customFormat="1" x14ac:dyDescent="0.35">
      <c r="A354" s="5"/>
    </row>
    <row r="355" spans="1:1" s="4" customFormat="1" x14ac:dyDescent="0.35">
      <c r="A355" s="5"/>
    </row>
    <row r="356" spans="1:1" s="4" customFormat="1" x14ac:dyDescent="0.35">
      <c r="A356" s="5"/>
    </row>
    <row r="357" spans="1:1" s="4" customFormat="1" x14ac:dyDescent="0.35">
      <c r="A357" s="5"/>
    </row>
    <row r="358" spans="1:1" s="4" customFormat="1" x14ac:dyDescent="0.35">
      <c r="A358" s="5"/>
    </row>
    <row r="359" spans="1:1" s="4" customFormat="1" x14ac:dyDescent="0.35">
      <c r="A359" s="5"/>
    </row>
    <row r="360" spans="1:1" s="4" customFormat="1" x14ac:dyDescent="0.35">
      <c r="A360" s="5"/>
    </row>
    <row r="361" spans="1:1" s="4" customFormat="1" x14ac:dyDescent="0.35">
      <c r="A361" s="5"/>
    </row>
    <row r="362" spans="1:1" s="4" customFormat="1" x14ac:dyDescent="0.35">
      <c r="A362" s="5"/>
    </row>
    <row r="363" spans="1:1" s="4" customFormat="1" x14ac:dyDescent="0.35">
      <c r="A363" s="5"/>
    </row>
    <row r="364" spans="1:1" s="4" customFormat="1" x14ac:dyDescent="0.35">
      <c r="A364" s="5"/>
    </row>
    <row r="365" spans="1:1" s="4" customFormat="1" x14ac:dyDescent="0.35">
      <c r="A365" s="5"/>
    </row>
    <row r="366" spans="1:1" s="4" customFormat="1" x14ac:dyDescent="0.35">
      <c r="A366" s="5"/>
    </row>
    <row r="367" spans="1:1" s="4" customFormat="1" x14ac:dyDescent="0.35">
      <c r="A367" s="5"/>
    </row>
    <row r="368" spans="1:1" s="4" customFormat="1" x14ac:dyDescent="0.35">
      <c r="A368" s="5"/>
    </row>
    <row r="369" spans="1:1" s="4" customFormat="1" x14ac:dyDescent="0.35">
      <c r="A369" s="5"/>
    </row>
    <row r="370" spans="1:1" s="4" customFormat="1" x14ac:dyDescent="0.35">
      <c r="A370" s="5"/>
    </row>
    <row r="371" spans="1:1" s="4" customFormat="1" x14ac:dyDescent="0.35">
      <c r="A371" s="5"/>
    </row>
    <row r="372" spans="1:1" s="4" customFormat="1" x14ac:dyDescent="0.35">
      <c r="A372" s="5"/>
    </row>
    <row r="373" spans="1:1" s="4" customFormat="1" x14ac:dyDescent="0.35">
      <c r="A373" s="5"/>
    </row>
    <row r="374" spans="1:1" s="4" customFormat="1" x14ac:dyDescent="0.35">
      <c r="A374" s="5"/>
    </row>
    <row r="375" spans="1:1" s="4" customFormat="1" x14ac:dyDescent="0.35">
      <c r="A375" s="5"/>
    </row>
    <row r="376" spans="1:1" s="4" customFormat="1" x14ac:dyDescent="0.35">
      <c r="A376" s="5"/>
    </row>
    <row r="377" spans="1:1" s="4" customFormat="1" x14ac:dyDescent="0.35">
      <c r="A377" s="5"/>
    </row>
    <row r="378" spans="1:1" s="4" customFormat="1" x14ac:dyDescent="0.35">
      <c r="A378" s="5"/>
    </row>
    <row r="379" spans="1:1" s="4" customFormat="1" x14ac:dyDescent="0.35">
      <c r="A379" s="5"/>
    </row>
    <row r="380" spans="1:1" s="4" customFormat="1" x14ac:dyDescent="0.35">
      <c r="A380" s="5"/>
    </row>
    <row r="381" spans="1:1" s="4" customFormat="1" x14ac:dyDescent="0.35">
      <c r="A381" s="5"/>
    </row>
    <row r="382" spans="1:1" s="4" customFormat="1" x14ac:dyDescent="0.35">
      <c r="A382" s="5"/>
    </row>
    <row r="383" spans="1:1" s="4" customFormat="1" x14ac:dyDescent="0.35">
      <c r="A383" s="5"/>
    </row>
    <row r="384" spans="1:1" s="4" customFormat="1" x14ac:dyDescent="0.35">
      <c r="A384" s="5"/>
    </row>
    <row r="385" spans="1:1" s="4" customFormat="1" x14ac:dyDescent="0.35">
      <c r="A385" s="5"/>
    </row>
    <row r="386" spans="1:1" s="4" customFormat="1" x14ac:dyDescent="0.35">
      <c r="A386" s="5"/>
    </row>
    <row r="387" spans="1:1" s="4" customFormat="1" x14ac:dyDescent="0.35">
      <c r="A387" s="5"/>
    </row>
    <row r="388" spans="1:1" s="4" customFormat="1" x14ac:dyDescent="0.35">
      <c r="A388" s="5"/>
    </row>
    <row r="389" spans="1:1" s="4" customFormat="1" x14ac:dyDescent="0.35">
      <c r="A389" s="5"/>
    </row>
    <row r="390" spans="1:1" s="4" customFormat="1" x14ac:dyDescent="0.35">
      <c r="A390" s="5"/>
    </row>
    <row r="391" spans="1:1" s="4" customFormat="1" x14ac:dyDescent="0.35">
      <c r="A391" s="5"/>
    </row>
    <row r="392" spans="1:1" s="4" customFormat="1" x14ac:dyDescent="0.35">
      <c r="A392" s="5"/>
    </row>
    <row r="393" spans="1:1" s="4" customFormat="1" x14ac:dyDescent="0.35">
      <c r="A393" s="5"/>
    </row>
    <row r="394" spans="1:1" s="4" customFormat="1" x14ac:dyDescent="0.35">
      <c r="A394" s="5"/>
    </row>
    <row r="395" spans="1:1" s="4" customFormat="1" x14ac:dyDescent="0.35">
      <c r="A395" s="5"/>
    </row>
    <row r="396" spans="1:1" s="4" customFormat="1" x14ac:dyDescent="0.35">
      <c r="A396" s="5"/>
    </row>
    <row r="397" spans="1:1" s="4" customFormat="1" x14ac:dyDescent="0.35">
      <c r="A397" s="5"/>
    </row>
    <row r="398" spans="1:1" s="4" customFormat="1" x14ac:dyDescent="0.35">
      <c r="A398" s="5"/>
    </row>
    <row r="399" spans="1:1" s="4" customFormat="1" x14ac:dyDescent="0.35">
      <c r="A399" s="5"/>
    </row>
    <row r="400" spans="1:1" s="4" customFormat="1" x14ac:dyDescent="0.35">
      <c r="A400" s="5"/>
    </row>
    <row r="401" spans="1:1" s="4" customFormat="1" x14ac:dyDescent="0.35">
      <c r="A401" s="5"/>
    </row>
    <row r="402" spans="1:1" s="4" customFormat="1" x14ac:dyDescent="0.35">
      <c r="A402" s="5"/>
    </row>
    <row r="403" spans="1:1" s="4" customFormat="1" x14ac:dyDescent="0.35">
      <c r="A403" s="5"/>
    </row>
    <row r="404" spans="1:1" s="4" customFormat="1" x14ac:dyDescent="0.35">
      <c r="A404" s="5"/>
    </row>
    <row r="405" spans="1:1" s="4" customFormat="1" x14ac:dyDescent="0.35">
      <c r="A405" s="5"/>
    </row>
    <row r="406" spans="1:1" s="4" customFormat="1" x14ac:dyDescent="0.35">
      <c r="A406" s="5"/>
    </row>
    <row r="407" spans="1:1" s="4" customFormat="1" x14ac:dyDescent="0.35">
      <c r="A407" s="5"/>
    </row>
    <row r="408" spans="1:1" s="4" customFormat="1" x14ac:dyDescent="0.35">
      <c r="A408" s="5"/>
    </row>
    <row r="409" spans="1:1" s="4" customFormat="1" x14ac:dyDescent="0.35">
      <c r="A409" s="5"/>
    </row>
    <row r="410" spans="1:1" s="4" customFormat="1" x14ac:dyDescent="0.35">
      <c r="A410" s="5"/>
    </row>
    <row r="411" spans="1:1" s="4" customFormat="1" x14ac:dyDescent="0.35">
      <c r="A411" s="5"/>
    </row>
    <row r="412" spans="1:1" s="4" customFormat="1" x14ac:dyDescent="0.35">
      <c r="A412" s="5"/>
    </row>
    <row r="413" spans="1:1" s="4" customFormat="1" x14ac:dyDescent="0.35">
      <c r="A413" s="5"/>
    </row>
    <row r="414" spans="1:1" s="4" customFormat="1" x14ac:dyDescent="0.35">
      <c r="A414" s="5"/>
    </row>
    <row r="415" spans="1:1" s="4" customFormat="1" x14ac:dyDescent="0.35">
      <c r="A415" s="5"/>
    </row>
    <row r="416" spans="1:1" s="4" customFormat="1" x14ac:dyDescent="0.35">
      <c r="A416" s="5"/>
    </row>
    <row r="417" spans="1:1" s="4" customFormat="1" x14ac:dyDescent="0.35">
      <c r="A417" s="5"/>
    </row>
    <row r="418" spans="1:1" s="4" customFormat="1" x14ac:dyDescent="0.35">
      <c r="A418" s="5"/>
    </row>
    <row r="419" spans="1:1" s="4" customFormat="1" x14ac:dyDescent="0.35">
      <c r="A419" s="5"/>
    </row>
    <row r="420" spans="1:1" s="4" customFormat="1" x14ac:dyDescent="0.35">
      <c r="A420" s="5"/>
    </row>
    <row r="421" spans="1:1" s="4" customFormat="1" x14ac:dyDescent="0.35">
      <c r="A421" s="5"/>
    </row>
    <row r="422" spans="1:1" s="4" customFormat="1" x14ac:dyDescent="0.35">
      <c r="A422" s="5"/>
    </row>
    <row r="423" spans="1:1" s="4" customFormat="1" x14ac:dyDescent="0.35">
      <c r="A423" s="5"/>
    </row>
    <row r="424" spans="1:1" s="4" customFormat="1" x14ac:dyDescent="0.35">
      <c r="A424" s="5"/>
    </row>
    <row r="425" spans="1:1" s="4" customFormat="1" x14ac:dyDescent="0.35">
      <c r="A425" s="5"/>
    </row>
    <row r="426" spans="1:1" s="4" customFormat="1" x14ac:dyDescent="0.35">
      <c r="A426" s="5"/>
    </row>
    <row r="427" spans="1:1" s="4" customFormat="1" x14ac:dyDescent="0.35">
      <c r="A427" s="5"/>
    </row>
    <row r="428" spans="1:1" s="4" customFormat="1" x14ac:dyDescent="0.35">
      <c r="A428" s="5"/>
    </row>
    <row r="429" spans="1:1" s="4" customFormat="1" x14ac:dyDescent="0.35">
      <c r="A429" s="5"/>
    </row>
    <row r="430" spans="1:1" s="4" customFormat="1" x14ac:dyDescent="0.35">
      <c r="A430" s="5"/>
    </row>
    <row r="431" spans="1:1" s="4" customFormat="1" x14ac:dyDescent="0.35">
      <c r="A431" s="5"/>
    </row>
    <row r="432" spans="1:1" s="4" customFormat="1" x14ac:dyDescent="0.35">
      <c r="A432" s="5"/>
    </row>
    <row r="433" spans="1:1" s="4" customFormat="1" x14ac:dyDescent="0.35">
      <c r="A433" s="5"/>
    </row>
    <row r="434" spans="1:1" s="4" customFormat="1" x14ac:dyDescent="0.35">
      <c r="A434" s="5"/>
    </row>
    <row r="435" spans="1:1" s="4" customFormat="1" x14ac:dyDescent="0.35">
      <c r="A435" s="5"/>
    </row>
    <row r="436" spans="1:1" s="4" customFormat="1" x14ac:dyDescent="0.35">
      <c r="A436" s="5"/>
    </row>
    <row r="437" spans="1:1" s="4" customFormat="1" x14ac:dyDescent="0.35">
      <c r="A437" s="5"/>
    </row>
    <row r="438" spans="1:1" s="4" customFormat="1" x14ac:dyDescent="0.35">
      <c r="A438" s="5"/>
    </row>
    <row r="439" spans="1:1" s="4" customFormat="1" x14ac:dyDescent="0.35">
      <c r="A439" s="5"/>
    </row>
    <row r="440" spans="1:1" s="4" customFormat="1" x14ac:dyDescent="0.35">
      <c r="A440" s="5"/>
    </row>
    <row r="441" spans="1:1" s="4" customFormat="1" x14ac:dyDescent="0.35">
      <c r="A441" s="5"/>
    </row>
    <row r="442" spans="1:1" s="4" customFormat="1" x14ac:dyDescent="0.35">
      <c r="A442" s="5"/>
    </row>
    <row r="443" spans="1:1" s="4" customFormat="1" x14ac:dyDescent="0.35">
      <c r="A443" s="5"/>
    </row>
    <row r="444" spans="1:1" s="4" customFormat="1" x14ac:dyDescent="0.35">
      <c r="A444" s="5"/>
    </row>
    <row r="445" spans="1:1" s="4" customFormat="1" x14ac:dyDescent="0.35">
      <c r="A445" s="5"/>
    </row>
    <row r="446" spans="1:1" s="4" customFormat="1" x14ac:dyDescent="0.35">
      <c r="A446" s="5"/>
    </row>
    <row r="447" spans="1:1" s="4" customFormat="1" x14ac:dyDescent="0.35">
      <c r="A447" s="5"/>
    </row>
    <row r="448" spans="1:1" s="4" customFormat="1" x14ac:dyDescent="0.35">
      <c r="A448" s="5"/>
    </row>
    <row r="449" spans="1:1" s="4" customFormat="1" x14ac:dyDescent="0.35">
      <c r="A449" s="5"/>
    </row>
    <row r="450" spans="1:1" s="4" customFormat="1" x14ac:dyDescent="0.35">
      <c r="A450" s="5"/>
    </row>
    <row r="451" spans="1:1" s="4" customFormat="1" x14ac:dyDescent="0.35">
      <c r="A451" s="5"/>
    </row>
    <row r="452" spans="1:1" s="4" customFormat="1" x14ac:dyDescent="0.35">
      <c r="A452" s="5"/>
    </row>
    <row r="453" spans="1:1" s="4" customFormat="1" x14ac:dyDescent="0.35">
      <c r="A453" s="5"/>
    </row>
    <row r="454" spans="1:1" s="4" customFormat="1" x14ac:dyDescent="0.35">
      <c r="A454" s="5"/>
    </row>
    <row r="455" spans="1:1" s="4" customFormat="1" x14ac:dyDescent="0.35">
      <c r="A455" s="5"/>
    </row>
    <row r="456" spans="1:1" s="4" customFormat="1" x14ac:dyDescent="0.35">
      <c r="A456" s="5"/>
    </row>
    <row r="457" spans="1:1" s="4" customFormat="1" x14ac:dyDescent="0.35">
      <c r="A457" s="5"/>
    </row>
    <row r="458" spans="1:1" s="4" customFormat="1" x14ac:dyDescent="0.35">
      <c r="A458" s="5"/>
    </row>
    <row r="459" spans="1:1" s="4" customFormat="1" x14ac:dyDescent="0.35">
      <c r="A459" s="5"/>
    </row>
    <row r="460" spans="1:1" s="4" customFormat="1" x14ac:dyDescent="0.35">
      <c r="A460" s="5"/>
    </row>
    <row r="461" spans="1:1" s="4" customFormat="1" x14ac:dyDescent="0.35">
      <c r="A461" s="5"/>
    </row>
    <row r="462" spans="1:1" s="4" customFormat="1" x14ac:dyDescent="0.35">
      <c r="A462" s="5"/>
    </row>
    <row r="463" spans="1:1" s="4" customFormat="1" x14ac:dyDescent="0.35">
      <c r="A463" s="5"/>
    </row>
    <row r="464" spans="1:1" s="4" customFormat="1" x14ac:dyDescent="0.35">
      <c r="A464" s="5"/>
    </row>
    <row r="465" spans="1:1" s="4" customFormat="1" x14ac:dyDescent="0.35">
      <c r="A465" s="5"/>
    </row>
    <row r="466" spans="1:1" s="4" customFormat="1" x14ac:dyDescent="0.35">
      <c r="A466" s="5"/>
    </row>
    <row r="467" spans="1:1" s="4" customFormat="1" x14ac:dyDescent="0.35">
      <c r="A467" s="5"/>
    </row>
    <row r="468" spans="1:1" s="4" customFormat="1" x14ac:dyDescent="0.35">
      <c r="A468" s="5"/>
    </row>
    <row r="469" spans="1:1" s="4" customFormat="1" x14ac:dyDescent="0.35">
      <c r="A469" s="5"/>
    </row>
    <row r="470" spans="1:1" s="4" customFormat="1" x14ac:dyDescent="0.35">
      <c r="A470" s="5"/>
    </row>
    <row r="471" spans="1:1" s="4" customFormat="1" x14ac:dyDescent="0.35">
      <c r="A471" s="5"/>
    </row>
    <row r="472" spans="1:1" s="4" customFormat="1" x14ac:dyDescent="0.35">
      <c r="A472" s="5"/>
    </row>
    <row r="473" spans="1:1" s="4" customFormat="1" x14ac:dyDescent="0.35">
      <c r="A473" s="5"/>
    </row>
    <row r="474" spans="1:1" s="4" customFormat="1" x14ac:dyDescent="0.35">
      <c r="A474" s="5"/>
    </row>
    <row r="475" spans="1:1" s="4" customFormat="1" x14ac:dyDescent="0.35">
      <c r="A475" s="5"/>
    </row>
    <row r="476" spans="1:1" s="4" customFormat="1" x14ac:dyDescent="0.35">
      <c r="A476" s="5"/>
    </row>
    <row r="477" spans="1:1" s="4" customFormat="1" x14ac:dyDescent="0.35">
      <c r="A477" s="5"/>
    </row>
    <row r="478" spans="1:1" s="4" customFormat="1" x14ac:dyDescent="0.35">
      <c r="A478" s="5"/>
    </row>
    <row r="479" spans="1:1" s="4" customFormat="1" x14ac:dyDescent="0.35">
      <c r="A479" s="5"/>
    </row>
    <row r="480" spans="1:1" s="4" customFormat="1" x14ac:dyDescent="0.35">
      <c r="A480" s="5"/>
    </row>
    <row r="481" spans="1:1" s="4" customFormat="1" x14ac:dyDescent="0.35">
      <c r="A481" s="5"/>
    </row>
    <row r="482" spans="1:1" s="4" customFormat="1" x14ac:dyDescent="0.35">
      <c r="A482" s="5"/>
    </row>
    <row r="483" spans="1:1" s="4" customFormat="1" x14ac:dyDescent="0.35">
      <c r="A483" s="5"/>
    </row>
    <row r="484" spans="1:1" s="4" customFormat="1" x14ac:dyDescent="0.35">
      <c r="A484" s="5"/>
    </row>
    <row r="485" spans="1:1" s="4" customFormat="1" x14ac:dyDescent="0.35">
      <c r="A485" s="5"/>
    </row>
    <row r="486" spans="1:1" s="4" customFormat="1" x14ac:dyDescent="0.35">
      <c r="A486" s="5"/>
    </row>
    <row r="487" spans="1:1" s="4" customFormat="1" x14ac:dyDescent="0.35">
      <c r="A487" s="5"/>
    </row>
    <row r="488" spans="1:1" s="4" customFormat="1" x14ac:dyDescent="0.35">
      <c r="A488" s="5"/>
    </row>
    <row r="489" spans="1:1" s="4" customFormat="1" x14ac:dyDescent="0.35">
      <c r="A489" s="5"/>
    </row>
    <row r="490" spans="1:1" s="4" customFormat="1" x14ac:dyDescent="0.35">
      <c r="A490" s="5"/>
    </row>
    <row r="491" spans="1:1" s="4" customFormat="1" x14ac:dyDescent="0.35">
      <c r="A491" s="5"/>
    </row>
    <row r="492" spans="1:1" s="4" customFormat="1" x14ac:dyDescent="0.35">
      <c r="A492" s="5"/>
    </row>
    <row r="493" spans="1:1" s="4" customFormat="1" x14ac:dyDescent="0.35">
      <c r="A493" s="5"/>
    </row>
    <row r="494" spans="1:1" s="4" customFormat="1" x14ac:dyDescent="0.35">
      <c r="A494" s="5"/>
    </row>
    <row r="495" spans="1:1" s="4" customFormat="1" x14ac:dyDescent="0.35">
      <c r="A495" s="5"/>
    </row>
    <row r="496" spans="1:1" s="4" customFormat="1" x14ac:dyDescent="0.35">
      <c r="A496" s="5"/>
    </row>
    <row r="497" spans="1:1" s="4" customFormat="1" x14ac:dyDescent="0.35">
      <c r="A497" s="5"/>
    </row>
    <row r="498" spans="1:1" s="4" customFormat="1" x14ac:dyDescent="0.35">
      <c r="A498" s="5"/>
    </row>
    <row r="499" spans="1:1" s="4" customFormat="1" x14ac:dyDescent="0.35">
      <c r="A499" s="5"/>
    </row>
    <row r="500" spans="1:1" s="4" customFormat="1" x14ac:dyDescent="0.35">
      <c r="A500" s="5"/>
    </row>
    <row r="501" spans="1:1" s="4" customFormat="1" x14ac:dyDescent="0.35">
      <c r="A501" s="5"/>
    </row>
    <row r="502" spans="1:1" s="4" customFormat="1" x14ac:dyDescent="0.35">
      <c r="A502" s="5"/>
    </row>
    <row r="503" spans="1:1" s="4" customFormat="1" x14ac:dyDescent="0.35">
      <c r="A503" s="5"/>
    </row>
    <row r="504" spans="1:1" s="4" customFormat="1" x14ac:dyDescent="0.35">
      <c r="A504" s="5"/>
    </row>
    <row r="505" spans="1:1" s="4" customFormat="1" x14ac:dyDescent="0.35">
      <c r="A505" s="5"/>
    </row>
    <row r="506" spans="1:1" s="4" customFormat="1" x14ac:dyDescent="0.35">
      <c r="A506" s="5"/>
    </row>
    <row r="507" spans="1:1" s="4" customFormat="1" x14ac:dyDescent="0.35">
      <c r="A507" s="5"/>
    </row>
    <row r="508" spans="1:1" s="4" customFormat="1" x14ac:dyDescent="0.35">
      <c r="A508" s="5"/>
    </row>
    <row r="509" spans="1:1" s="4" customFormat="1" x14ac:dyDescent="0.35">
      <c r="A509" s="5"/>
    </row>
    <row r="510" spans="1:1" s="4" customFormat="1" x14ac:dyDescent="0.35">
      <c r="A510" s="5"/>
    </row>
    <row r="511" spans="1:1" s="4" customFormat="1" x14ac:dyDescent="0.35">
      <c r="A511" s="5"/>
    </row>
    <row r="512" spans="1:1" s="4" customFormat="1" x14ac:dyDescent="0.35">
      <c r="A512" s="5"/>
    </row>
    <row r="513" spans="1:1" s="4" customFormat="1" x14ac:dyDescent="0.35">
      <c r="A513" s="5"/>
    </row>
    <row r="514" spans="1:1" s="4" customFormat="1" x14ac:dyDescent="0.35">
      <c r="A514" s="5"/>
    </row>
    <row r="515" spans="1:1" s="4" customFormat="1" x14ac:dyDescent="0.35">
      <c r="A515" s="5"/>
    </row>
    <row r="516" spans="1:1" s="4" customFormat="1" x14ac:dyDescent="0.35">
      <c r="A516" s="5"/>
    </row>
    <row r="517" spans="1:1" s="4" customFormat="1" x14ac:dyDescent="0.35">
      <c r="A517" s="5"/>
    </row>
    <row r="518" spans="1:1" s="4" customFormat="1" x14ac:dyDescent="0.35">
      <c r="A518" s="5"/>
    </row>
    <row r="519" spans="1:1" s="4" customFormat="1" x14ac:dyDescent="0.35">
      <c r="A519" s="5"/>
    </row>
    <row r="520" spans="1:1" s="4" customFormat="1" x14ac:dyDescent="0.35">
      <c r="A520" s="5"/>
    </row>
    <row r="521" spans="1:1" s="4" customFormat="1" x14ac:dyDescent="0.35">
      <c r="A521" s="5"/>
    </row>
    <row r="522" spans="1:1" s="4" customFormat="1" x14ac:dyDescent="0.35">
      <c r="A522" s="5"/>
    </row>
    <row r="523" spans="1:1" s="4" customFormat="1" x14ac:dyDescent="0.35">
      <c r="A523" s="5"/>
    </row>
    <row r="524" spans="1:1" s="4" customFormat="1" x14ac:dyDescent="0.35">
      <c r="A524" s="5"/>
    </row>
    <row r="525" spans="1:1" s="4" customFormat="1" x14ac:dyDescent="0.35">
      <c r="A525" s="5"/>
    </row>
    <row r="526" spans="1:1" s="4" customFormat="1" x14ac:dyDescent="0.35">
      <c r="A526" s="5"/>
    </row>
    <row r="527" spans="1:1" s="4" customFormat="1" x14ac:dyDescent="0.35">
      <c r="A527" s="5"/>
    </row>
    <row r="528" spans="1:1" s="4" customFormat="1" x14ac:dyDescent="0.35">
      <c r="A528" s="5"/>
    </row>
    <row r="529" spans="1:1" s="4" customFormat="1" x14ac:dyDescent="0.35">
      <c r="A529" s="5"/>
    </row>
    <row r="530" spans="1:1" s="4" customFormat="1" x14ac:dyDescent="0.35">
      <c r="A530" s="5"/>
    </row>
    <row r="531" spans="1:1" s="4" customFormat="1" x14ac:dyDescent="0.35">
      <c r="A531" s="5"/>
    </row>
    <row r="532" spans="1:1" s="4" customFormat="1" x14ac:dyDescent="0.35">
      <c r="A532" s="5"/>
    </row>
    <row r="533" spans="1:1" s="4" customFormat="1" x14ac:dyDescent="0.35">
      <c r="A533" s="5"/>
    </row>
    <row r="534" spans="1:1" s="4" customFormat="1" x14ac:dyDescent="0.35">
      <c r="A534" s="5"/>
    </row>
    <row r="535" spans="1:1" s="4" customFormat="1" x14ac:dyDescent="0.35">
      <c r="A535" s="5"/>
    </row>
    <row r="536" spans="1:1" s="4" customFormat="1" x14ac:dyDescent="0.35">
      <c r="A536" s="5"/>
    </row>
    <row r="537" spans="1:1" s="4" customFormat="1" x14ac:dyDescent="0.35">
      <c r="A537" s="5"/>
    </row>
    <row r="538" spans="1:1" s="4" customFormat="1" x14ac:dyDescent="0.35">
      <c r="A538" s="5"/>
    </row>
    <row r="539" spans="1:1" s="4" customFormat="1" x14ac:dyDescent="0.35">
      <c r="A539" s="5"/>
    </row>
    <row r="540" spans="1:1" s="4" customFormat="1" x14ac:dyDescent="0.35">
      <c r="A540" s="5"/>
    </row>
    <row r="541" spans="1:1" s="4" customFormat="1" x14ac:dyDescent="0.35">
      <c r="A541" s="5"/>
    </row>
    <row r="542" spans="1:1" s="4" customFormat="1" x14ac:dyDescent="0.35">
      <c r="A542" s="5"/>
    </row>
    <row r="543" spans="1:1" s="4" customFormat="1" x14ac:dyDescent="0.35">
      <c r="A543" s="5"/>
    </row>
    <row r="544" spans="1:1" s="4" customFormat="1" x14ac:dyDescent="0.35">
      <c r="A544" s="5"/>
    </row>
    <row r="545" spans="1:1" s="4" customFormat="1" x14ac:dyDescent="0.35">
      <c r="A545" s="5"/>
    </row>
    <row r="546" spans="1:1" s="4" customFormat="1" x14ac:dyDescent="0.35">
      <c r="A546" s="5"/>
    </row>
    <row r="547" spans="1:1" s="4" customFormat="1" x14ac:dyDescent="0.35">
      <c r="A547" s="5"/>
    </row>
    <row r="548" spans="1:1" s="4" customFormat="1" x14ac:dyDescent="0.35">
      <c r="A548" s="5"/>
    </row>
    <row r="549" spans="1:1" s="4" customFormat="1" x14ac:dyDescent="0.35">
      <c r="A549" s="5"/>
    </row>
    <row r="550" spans="1:1" s="4" customFormat="1" x14ac:dyDescent="0.35">
      <c r="A550" s="5"/>
    </row>
    <row r="551" spans="1:1" s="4" customFormat="1" x14ac:dyDescent="0.35">
      <c r="A551" s="5"/>
    </row>
    <row r="552" spans="1:1" s="4" customFormat="1" x14ac:dyDescent="0.35">
      <c r="A552" s="5"/>
    </row>
    <row r="553" spans="1:1" s="4" customFormat="1" x14ac:dyDescent="0.35">
      <c r="A553" s="5"/>
    </row>
    <row r="554" spans="1:1" s="4" customFormat="1" x14ac:dyDescent="0.35">
      <c r="A554" s="5"/>
    </row>
    <row r="555" spans="1:1" s="4" customFormat="1" x14ac:dyDescent="0.35">
      <c r="A555" s="5"/>
    </row>
    <row r="556" spans="1:1" s="4" customFormat="1" x14ac:dyDescent="0.35">
      <c r="A556" s="5"/>
    </row>
    <row r="557" spans="1:1" s="4" customFormat="1" x14ac:dyDescent="0.35">
      <c r="A557" s="5"/>
    </row>
    <row r="558" spans="1:1" s="4" customFormat="1" x14ac:dyDescent="0.35">
      <c r="A558" s="5"/>
    </row>
    <row r="559" spans="1:1" s="4" customFormat="1" x14ac:dyDescent="0.35">
      <c r="A559" s="5"/>
    </row>
    <row r="560" spans="1:1" s="4" customFormat="1" x14ac:dyDescent="0.35">
      <c r="A560" s="5"/>
    </row>
    <row r="561" spans="1:1" s="4" customFormat="1" x14ac:dyDescent="0.35">
      <c r="A561" s="5"/>
    </row>
    <row r="562" spans="1:1" s="4" customFormat="1" x14ac:dyDescent="0.35">
      <c r="A562" s="5"/>
    </row>
    <row r="563" spans="1:1" s="4" customFormat="1" x14ac:dyDescent="0.35">
      <c r="A563" s="5"/>
    </row>
    <row r="564" spans="1:1" s="4" customFormat="1" x14ac:dyDescent="0.35">
      <c r="A564" s="5"/>
    </row>
    <row r="565" spans="1:1" s="4" customFormat="1" x14ac:dyDescent="0.35">
      <c r="A565" s="5"/>
    </row>
    <row r="566" spans="1:1" s="4" customFormat="1" x14ac:dyDescent="0.35">
      <c r="A566" s="5"/>
    </row>
    <row r="567" spans="1:1" s="4" customFormat="1" x14ac:dyDescent="0.35">
      <c r="A567" s="5"/>
    </row>
    <row r="568" spans="1:1" s="4" customFormat="1" x14ac:dyDescent="0.35">
      <c r="A568" s="5"/>
    </row>
    <row r="569" spans="1:1" s="4" customFormat="1" x14ac:dyDescent="0.35">
      <c r="A569" s="5"/>
    </row>
    <row r="570" spans="1:1" s="4" customFormat="1" x14ac:dyDescent="0.35">
      <c r="A570" s="5"/>
    </row>
    <row r="571" spans="1:1" s="4" customFormat="1" x14ac:dyDescent="0.35">
      <c r="A571" s="5"/>
    </row>
    <row r="572" spans="1:1" s="4" customFormat="1" x14ac:dyDescent="0.35">
      <c r="A572" s="5"/>
    </row>
    <row r="573" spans="1:1" s="4" customFormat="1" x14ac:dyDescent="0.35">
      <c r="A573" s="5"/>
    </row>
    <row r="574" spans="1:1" s="4" customFormat="1" x14ac:dyDescent="0.35">
      <c r="A574" s="5"/>
    </row>
    <row r="575" spans="1:1" s="4" customFormat="1" x14ac:dyDescent="0.35">
      <c r="A575" s="5"/>
    </row>
    <row r="576" spans="1:1" s="4" customFormat="1" x14ac:dyDescent="0.35">
      <c r="A576" s="5"/>
    </row>
    <row r="577" spans="1:1" s="4" customFormat="1" x14ac:dyDescent="0.35">
      <c r="A577" s="5"/>
    </row>
    <row r="578" spans="1:1" s="4" customFormat="1" x14ac:dyDescent="0.35">
      <c r="A578" s="5"/>
    </row>
    <row r="579" spans="1:1" s="4" customFormat="1" x14ac:dyDescent="0.35">
      <c r="A579" s="5"/>
    </row>
    <row r="580" spans="1:1" s="4" customFormat="1" x14ac:dyDescent="0.35">
      <c r="A580" s="5"/>
    </row>
    <row r="581" spans="1:1" s="4" customFormat="1" x14ac:dyDescent="0.35">
      <c r="A581" s="5"/>
    </row>
    <row r="582" spans="1:1" s="4" customFormat="1" x14ac:dyDescent="0.35">
      <c r="A582" s="5"/>
    </row>
    <row r="583" spans="1:1" s="4" customFormat="1" x14ac:dyDescent="0.35">
      <c r="A583" s="5"/>
    </row>
    <row r="584" spans="1:1" s="4" customFormat="1" x14ac:dyDescent="0.35">
      <c r="A584" s="5"/>
    </row>
    <row r="585" spans="1:1" s="4" customFormat="1" x14ac:dyDescent="0.35">
      <c r="A585" s="5"/>
    </row>
    <row r="586" spans="1:1" s="4" customFormat="1" x14ac:dyDescent="0.35">
      <c r="A586" s="5"/>
    </row>
    <row r="587" spans="1:1" s="4" customFormat="1" x14ac:dyDescent="0.35">
      <c r="A587" s="5"/>
    </row>
    <row r="588" spans="1:1" s="4" customFormat="1" x14ac:dyDescent="0.35">
      <c r="A588" s="5"/>
    </row>
    <row r="589" spans="1:1" s="4" customFormat="1" x14ac:dyDescent="0.35">
      <c r="A589" s="5"/>
    </row>
    <row r="590" spans="1:1" s="4" customFormat="1" x14ac:dyDescent="0.35">
      <c r="A590" s="5"/>
    </row>
    <row r="591" spans="1:1" s="4" customFormat="1" x14ac:dyDescent="0.35">
      <c r="A591" s="5"/>
    </row>
    <row r="592" spans="1:1" s="4" customFormat="1" x14ac:dyDescent="0.35">
      <c r="A592" s="5"/>
    </row>
    <row r="593" spans="1:1" s="4" customFormat="1" x14ac:dyDescent="0.35">
      <c r="A593" s="5"/>
    </row>
    <row r="594" spans="1:1" s="4" customFormat="1" x14ac:dyDescent="0.35">
      <c r="A594" s="5"/>
    </row>
    <row r="595" spans="1:1" s="4" customFormat="1" x14ac:dyDescent="0.35">
      <c r="A595" s="5"/>
    </row>
    <row r="596" spans="1:1" s="4" customFormat="1" x14ac:dyDescent="0.35">
      <c r="A596" s="5"/>
    </row>
    <row r="597" spans="1:1" s="4" customFormat="1" x14ac:dyDescent="0.35">
      <c r="A597" s="5"/>
    </row>
    <row r="598" spans="1:1" s="4" customFormat="1" x14ac:dyDescent="0.35">
      <c r="A598" s="5"/>
    </row>
    <row r="599" spans="1:1" s="4" customFormat="1" x14ac:dyDescent="0.35">
      <c r="A599" s="5"/>
    </row>
    <row r="600" spans="1:1" s="4" customFormat="1" x14ac:dyDescent="0.35">
      <c r="A600" s="5"/>
    </row>
    <row r="601" spans="1:1" s="4" customFormat="1" x14ac:dyDescent="0.35">
      <c r="A601" s="5"/>
    </row>
    <row r="602" spans="1:1" s="4" customFormat="1" x14ac:dyDescent="0.35">
      <c r="A602" s="5"/>
    </row>
    <row r="603" spans="1:1" s="4" customFormat="1" x14ac:dyDescent="0.35">
      <c r="A603" s="5"/>
    </row>
    <row r="604" spans="1:1" s="4" customFormat="1" x14ac:dyDescent="0.35">
      <c r="A604" s="5"/>
    </row>
    <row r="605" spans="1:1" s="4" customFormat="1" x14ac:dyDescent="0.35">
      <c r="A605" s="5"/>
    </row>
    <row r="606" spans="1:1" s="4" customFormat="1" x14ac:dyDescent="0.35">
      <c r="A606" s="5"/>
    </row>
    <row r="607" spans="1:1" s="4" customFormat="1" x14ac:dyDescent="0.35">
      <c r="A607" s="5"/>
    </row>
    <row r="608" spans="1:1" s="4" customFormat="1" x14ac:dyDescent="0.35">
      <c r="A608" s="5"/>
    </row>
    <row r="609" spans="1:1" s="4" customFormat="1" x14ac:dyDescent="0.35">
      <c r="A609" s="5"/>
    </row>
    <row r="610" spans="1:1" s="4" customFormat="1" x14ac:dyDescent="0.35">
      <c r="A610" s="5"/>
    </row>
    <row r="611" spans="1:1" s="4" customFormat="1" x14ac:dyDescent="0.35">
      <c r="A611" s="5"/>
    </row>
    <row r="612" spans="1:1" s="4" customFormat="1" x14ac:dyDescent="0.35">
      <c r="A612" s="5"/>
    </row>
    <row r="613" spans="1:1" s="4" customFormat="1" x14ac:dyDescent="0.35">
      <c r="A613" s="5"/>
    </row>
    <row r="614" spans="1:1" s="4" customFormat="1" x14ac:dyDescent="0.35">
      <c r="A614" s="5"/>
    </row>
    <row r="615" spans="1:1" s="4" customFormat="1" x14ac:dyDescent="0.35">
      <c r="A615" s="5"/>
    </row>
    <row r="616" spans="1:1" s="4" customFormat="1" x14ac:dyDescent="0.35">
      <c r="A616" s="5"/>
    </row>
    <row r="617" spans="1:1" s="4" customFormat="1" x14ac:dyDescent="0.35">
      <c r="A617" s="5"/>
    </row>
    <row r="618" spans="1:1" s="4" customFormat="1" x14ac:dyDescent="0.35">
      <c r="A618" s="5"/>
    </row>
    <row r="619" spans="1:1" s="4" customFormat="1" x14ac:dyDescent="0.35">
      <c r="A619" s="5"/>
    </row>
    <row r="620" spans="1:1" s="4" customFormat="1" x14ac:dyDescent="0.35">
      <c r="A620" s="5"/>
    </row>
    <row r="621" spans="1:1" s="4" customFormat="1" x14ac:dyDescent="0.35">
      <c r="A621" s="5"/>
    </row>
    <row r="622" spans="1:1" s="4" customFormat="1" x14ac:dyDescent="0.35">
      <c r="A622" s="5"/>
    </row>
    <row r="623" spans="1:1" s="4" customFormat="1" x14ac:dyDescent="0.35">
      <c r="A623" s="5"/>
    </row>
    <row r="624" spans="1:1" s="4" customFormat="1" x14ac:dyDescent="0.35">
      <c r="A624" s="5"/>
    </row>
    <row r="625" spans="1:1" s="4" customFormat="1" x14ac:dyDescent="0.35">
      <c r="A625" s="5"/>
    </row>
    <row r="626" spans="1:1" s="4" customFormat="1" x14ac:dyDescent="0.35">
      <c r="A626" s="5"/>
    </row>
    <row r="627" spans="1:1" s="4" customFormat="1" x14ac:dyDescent="0.35">
      <c r="A627" s="5"/>
    </row>
    <row r="628" spans="1:1" s="4" customFormat="1" x14ac:dyDescent="0.35">
      <c r="A628" s="5"/>
    </row>
    <row r="629" spans="1:1" s="4" customFormat="1" x14ac:dyDescent="0.35">
      <c r="A629" s="5"/>
    </row>
    <row r="630" spans="1:1" s="4" customFormat="1" x14ac:dyDescent="0.35">
      <c r="A630" s="5"/>
    </row>
    <row r="631" spans="1:1" s="4" customFormat="1" x14ac:dyDescent="0.35">
      <c r="A631" s="5"/>
    </row>
    <row r="632" spans="1:1" s="4" customFormat="1" x14ac:dyDescent="0.35">
      <c r="A632" s="5"/>
    </row>
    <row r="633" spans="1:1" s="4" customFormat="1" x14ac:dyDescent="0.35">
      <c r="A633" s="5"/>
    </row>
    <row r="634" spans="1:1" s="4" customFormat="1" x14ac:dyDescent="0.35">
      <c r="A634" s="5"/>
    </row>
    <row r="635" spans="1:1" s="4" customFormat="1" x14ac:dyDescent="0.35">
      <c r="A635" s="5"/>
    </row>
    <row r="636" spans="1:1" s="4" customFormat="1" x14ac:dyDescent="0.35">
      <c r="A636" s="5"/>
    </row>
    <row r="637" spans="1:1" s="4" customFormat="1" x14ac:dyDescent="0.35">
      <c r="A637" s="5"/>
    </row>
    <row r="638" spans="1:1" s="4" customFormat="1" x14ac:dyDescent="0.35">
      <c r="A638" s="5"/>
    </row>
    <row r="639" spans="1:1" s="4" customFormat="1" x14ac:dyDescent="0.35">
      <c r="A639" s="5"/>
    </row>
    <row r="640" spans="1:1" s="4" customFormat="1" x14ac:dyDescent="0.35">
      <c r="A640" s="5"/>
    </row>
    <row r="641" spans="1:1" s="4" customFormat="1" x14ac:dyDescent="0.35">
      <c r="A641" s="5"/>
    </row>
    <row r="642" spans="1:1" s="4" customFormat="1" x14ac:dyDescent="0.35">
      <c r="A642" s="5"/>
    </row>
    <row r="643" spans="1:1" s="4" customFormat="1" x14ac:dyDescent="0.35">
      <c r="A643" s="5"/>
    </row>
    <row r="644" spans="1:1" s="4" customFormat="1" x14ac:dyDescent="0.35">
      <c r="A644" s="5"/>
    </row>
    <row r="645" spans="1:1" s="4" customFormat="1" x14ac:dyDescent="0.35">
      <c r="A645" s="5"/>
    </row>
    <row r="646" spans="1:1" s="4" customFormat="1" x14ac:dyDescent="0.35">
      <c r="A646" s="5"/>
    </row>
    <row r="647" spans="1:1" s="4" customFormat="1" x14ac:dyDescent="0.35">
      <c r="A647" s="5"/>
    </row>
    <row r="648" spans="1:1" s="4" customFormat="1" x14ac:dyDescent="0.35">
      <c r="A648" s="5"/>
    </row>
    <row r="649" spans="1:1" s="4" customFormat="1" x14ac:dyDescent="0.35">
      <c r="A649" s="5"/>
    </row>
    <row r="650" spans="1:1" s="4" customFormat="1" x14ac:dyDescent="0.35">
      <c r="A650" s="5"/>
    </row>
    <row r="651" spans="1:1" s="4" customFormat="1" x14ac:dyDescent="0.35">
      <c r="A651" s="5"/>
    </row>
    <row r="652" spans="1:1" s="4" customFormat="1" x14ac:dyDescent="0.35">
      <c r="A652" s="5"/>
    </row>
    <row r="653" spans="1:1" s="4" customFormat="1" x14ac:dyDescent="0.35">
      <c r="A653" s="5"/>
    </row>
    <row r="654" spans="1:1" s="4" customFormat="1" x14ac:dyDescent="0.35">
      <c r="A654" s="5"/>
    </row>
    <row r="655" spans="1:1" s="4" customFormat="1" x14ac:dyDescent="0.35">
      <c r="A655" s="5"/>
    </row>
    <row r="656" spans="1:1" s="4" customFormat="1" x14ac:dyDescent="0.35">
      <c r="A656" s="5"/>
    </row>
    <row r="657" spans="1:1" s="4" customFormat="1" x14ac:dyDescent="0.35">
      <c r="A657" s="5"/>
    </row>
    <row r="658" spans="1:1" s="4" customFormat="1" x14ac:dyDescent="0.35">
      <c r="A658" s="5"/>
    </row>
    <row r="659" spans="1:1" s="4" customFormat="1" x14ac:dyDescent="0.35">
      <c r="A659" s="5"/>
    </row>
    <row r="660" spans="1:1" s="4" customFormat="1" x14ac:dyDescent="0.35">
      <c r="A660" s="5"/>
    </row>
    <row r="661" spans="1:1" s="4" customFormat="1" x14ac:dyDescent="0.35">
      <c r="A661" s="5"/>
    </row>
    <row r="662" spans="1:1" s="4" customFormat="1" x14ac:dyDescent="0.35">
      <c r="A662" s="5"/>
    </row>
    <row r="663" spans="1:1" s="4" customFormat="1" x14ac:dyDescent="0.35">
      <c r="A663" s="5"/>
    </row>
    <row r="664" spans="1:1" s="4" customFormat="1" x14ac:dyDescent="0.35">
      <c r="A664" s="5"/>
    </row>
    <row r="665" spans="1:1" s="4" customFormat="1" x14ac:dyDescent="0.35">
      <c r="A665" s="5"/>
    </row>
    <row r="666" spans="1:1" s="4" customFormat="1" x14ac:dyDescent="0.35">
      <c r="A666" s="5"/>
    </row>
    <row r="667" spans="1:1" s="4" customFormat="1" x14ac:dyDescent="0.35">
      <c r="A667" s="5"/>
    </row>
    <row r="668" spans="1:1" s="4" customFormat="1" x14ac:dyDescent="0.35">
      <c r="A668" s="5"/>
    </row>
    <row r="669" spans="1:1" s="4" customFormat="1" x14ac:dyDescent="0.35">
      <c r="A669" s="5"/>
    </row>
    <row r="670" spans="1:1" s="4" customFormat="1" x14ac:dyDescent="0.35">
      <c r="A670" s="5"/>
    </row>
    <row r="671" spans="1:1" s="4" customFormat="1" x14ac:dyDescent="0.35">
      <c r="A671" s="5"/>
    </row>
    <row r="672" spans="1:1" s="4" customFormat="1" x14ac:dyDescent="0.35">
      <c r="A672" s="5"/>
    </row>
    <row r="673" spans="1:1" s="4" customFormat="1" x14ac:dyDescent="0.35">
      <c r="A673" s="5"/>
    </row>
    <row r="674" spans="1:1" s="4" customFormat="1" x14ac:dyDescent="0.35">
      <c r="A674" s="5"/>
    </row>
    <row r="675" spans="1:1" s="4" customFormat="1" x14ac:dyDescent="0.35">
      <c r="A675" s="5"/>
    </row>
    <row r="676" spans="1:1" s="4" customFormat="1" x14ac:dyDescent="0.35">
      <c r="A676" s="5"/>
    </row>
    <row r="677" spans="1:1" s="4" customFormat="1" x14ac:dyDescent="0.35">
      <c r="A677" s="5"/>
    </row>
    <row r="678" spans="1:1" s="4" customFormat="1" x14ac:dyDescent="0.35">
      <c r="A678" s="5"/>
    </row>
    <row r="679" spans="1:1" s="4" customFormat="1" x14ac:dyDescent="0.35">
      <c r="A679" s="5"/>
    </row>
    <row r="680" spans="1:1" s="4" customFormat="1" x14ac:dyDescent="0.35">
      <c r="A680" s="5"/>
    </row>
    <row r="681" spans="1:1" s="4" customFormat="1" x14ac:dyDescent="0.35">
      <c r="A681" s="5"/>
    </row>
    <row r="682" spans="1:1" s="4" customFormat="1" x14ac:dyDescent="0.35">
      <c r="A682" s="5"/>
    </row>
    <row r="683" spans="1:1" s="4" customFormat="1" x14ac:dyDescent="0.35">
      <c r="A683" s="5"/>
    </row>
    <row r="684" spans="1:1" s="4" customFormat="1" x14ac:dyDescent="0.35">
      <c r="A684" s="5"/>
    </row>
    <row r="685" spans="1:1" s="4" customFormat="1" x14ac:dyDescent="0.35">
      <c r="A685" s="5"/>
    </row>
    <row r="686" spans="1:1" s="4" customFormat="1" x14ac:dyDescent="0.35">
      <c r="A686" s="5"/>
    </row>
    <row r="687" spans="1:1" s="4" customFormat="1" x14ac:dyDescent="0.35">
      <c r="A687" s="5"/>
    </row>
    <row r="688" spans="1:1" s="4" customFormat="1" x14ac:dyDescent="0.35">
      <c r="A688" s="5"/>
    </row>
    <row r="689" spans="1:1" s="4" customFormat="1" x14ac:dyDescent="0.35">
      <c r="A689" s="5"/>
    </row>
    <row r="690" spans="1:1" s="4" customFormat="1" x14ac:dyDescent="0.35">
      <c r="A690" s="5"/>
    </row>
    <row r="691" spans="1:1" s="4" customFormat="1" x14ac:dyDescent="0.35">
      <c r="A691" s="5"/>
    </row>
    <row r="692" spans="1:1" s="4" customFormat="1" x14ac:dyDescent="0.35">
      <c r="A692" s="5"/>
    </row>
    <row r="693" spans="1:1" s="4" customFormat="1" x14ac:dyDescent="0.35">
      <c r="A693" s="5"/>
    </row>
    <row r="694" spans="1:1" s="4" customFormat="1" x14ac:dyDescent="0.35">
      <c r="A694" s="5"/>
    </row>
    <row r="695" spans="1:1" s="4" customFormat="1" x14ac:dyDescent="0.35">
      <c r="A695" s="5"/>
    </row>
    <row r="696" spans="1:1" s="4" customFormat="1" x14ac:dyDescent="0.35">
      <c r="A696" s="5"/>
    </row>
    <row r="697" spans="1:1" s="4" customFormat="1" x14ac:dyDescent="0.35">
      <c r="A697" s="5"/>
    </row>
    <row r="698" spans="1:1" s="4" customFormat="1" x14ac:dyDescent="0.35">
      <c r="A698" s="5"/>
    </row>
    <row r="699" spans="1:1" s="4" customFormat="1" x14ac:dyDescent="0.35">
      <c r="A699" s="5"/>
    </row>
    <row r="700" spans="1:1" s="4" customFormat="1" x14ac:dyDescent="0.35">
      <c r="A700" s="5"/>
    </row>
    <row r="701" spans="1:1" s="4" customFormat="1" x14ac:dyDescent="0.35">
      <c r="A701" s="5"/>
    </row>
    <row r="702" spans="1:1" s="4" customFormat="1" x14ac:dyDescent="0.35">
      <c r="A702" s="5"/>
    </row>
    <row r="703" spans="1:1" s="4" customFormat="1" x14ac:dyDescent="0.35">
      <c r="A703" s="5"/>
    </row>
    <row r="704" spans="1:1" s="4" customFormat="1" x14ac:dyDescent="0.35">
      <c r="A704" s="5"/>
    </row>
    <row r="705" spans="1:1" s="4" customFormat="1" x14ac:dyDescent="0.35">
      <c r="A705" s="5"/>
    </row>
    <row r="706" spans="1:1" s="4" customFormat="1" x14ac:dyDescent="0.35">
      <c r="A706" s="5"/>
    </row>
    <row r="707" spans="1:1" s="4" customFormat="1" x14ac:dyDescent="0.35">
      <c r="A707" s="5"/>
    </row>
    <row r="708" spans="1:1" s="4" customFormat="1" x14ac:dyDescent="0.35">
      <c r="A708" s="5"/>
    </row>
    <row r="709" spans="1:1" s="4" customFormat="1" x14ac:dyDescent="0.35">
      <c r="A709" s="5"/>
    </row>
    <row r="710" spans="1:1" s="4" customFormat="1" x14ac:dyDescent="0.35">
      <c r="A710" s="5"/>
    </row>
    <row r="711" spans="1:1" s="4" customFormat="1" x14ac:dyDescent="0.35">
      <c r="A711" s="5"/>
    </row>
    <row r="712" spans="1:1" s="4" customFormat="1" x14ac:dyDescent="0.35">
      <c r="A712" s="5"/>
    </row>
    <row r="713" spans="1:1" s="4" customFormat="1" x14ac:dyDescent="0.35">
      <c r="A713" s="5"/>
    </row>
    <row r="714" spans="1:1" s="4" customFormat="1" x14ac:dyDescent="0.35">
      <c r="A714" s="5"/>
    </row>
    <row r="715" spans="1:1" s="4" customFormat="1" x14ac:dyDescent="0.35">
      <c r="A715" s="5"/>
    </row>
    <row r="716" spans="1:1" s="4" customFormat="1" x14ac:dyDescent="0.35">
      <c r="A716" s="5"/>
    </row>
    <row r="717" spans="1:1" s="4" customFormat="1" x14ac:dyDescent="0.35">
      <c r="A717" s="5"/>
    </row>
    <row r="718" spans="1:1" s="4" customFormat="1" x14ac:dyDescent="0.35">
      <c r="A718" s="5"/>
    </row>
    <row r="719" spans="1:1" s="4" customFormat="1" x14ac:dyDescent="0.35">
      <c r="A719" s="5"/>
    </row>
    <row r="720" spans="1:1" s="4" customFormat="1" x14ac:dyDescent="0.35">
      <c r="A720" s="5"/>
    </row>
    <row r="721" spans="1:1" s="4" customFormat="1" x14ac:dyDescent="0.35">
      <c r="A721" s="5"/>
    </row>
    <row r="722" spans="1:1" s="4" customFormat="1" x14ac:dyDescent="0.35">
      <c r="A722" s="5"/>
    </row>
    <row r="723" spans="1:1" s="4" customFormat="1" x14ac:dyDescent="0.35">
      <c r="A723" s="5"/>
    </row>
    <row r="724" spans="1:1" s="4" customFormat="1" x14ac:dyDescent="0.35">
      <c r="A724" s="5"/>
    </row>
    <row r="725" spans="1:1" s="4" customFormat="1" x14ac:dyDescent="0.35">
      <c r="A725" s="5"/>
    </row>
    <row r="726" spans="1:1" s="4" customFormat="1" x14ac:dyDescent="0.35">
      <c r="A726" s="5"/>
    </row>
    <row r="727" spans="1:1" s="4" customFormat="1" x14ac:dyDescent="0.35">
      <c r="A727" s="5"/>
    </row>
    <row r="728" spans="1:1" s="4" customFormat="1" x14ac:dyDescent="0.35">
      <c r="A728" s="5"/>
    </row>
    <row r="729" spans="1:1" s="4" customFormat="1" x14ac:dyDescent="0.35">
      <c r="A729" s="5"/>
    </row>
    <row r="730" spans="1:1" s="4" customFormat="1" x14ac:dyDescent="0.35">
      <c r="A730" s="5"/>
    </row>
    <row r="731" spans="1:1" s="4" customFormat="1" x14ac:dyDescent="0.35">
      <c r="A731" s="5"/>
    </row>
    <row r="732" spans="1:1" s="4" customFormat="1" x14ac:dyDescent="0.35">
      <c r="A732" s="5"/>
    </row>
    <row r="733" spans="1:1" s="4" customFormat="1" x14ac:dyDescent="0.35">
      <c r="A733" s="5"/>
    </row>
    <row r="734" spans="1:1" s="4" customFormat="1" x14ac:dyDescent="0.35">
      <c r="A734" s="5"/>
    </row>
    <row r="735" spans="1:1" s="4" customFormat="1" x14ac:dyDescent="0.35">
      <c r="A735" s="5"/>
    </row>
    <row r="736" spans="1:1" s="4" customFormat="1" x14ac:dyDescent="0.35">
      <c r="A736" s="5"/>
    </row>
    <row r="737" spans="1:1" s="4" customFormat="1" x14ac:dyDescent="0.35">
      <c r="A737" s="5"/>
    </row>
    <row r="738" spans="1:1" s="4" customFormat="1" x14ac:dyDescent="0.35">
      <c r="A738" s="5"/>
    </row>
    <row r="739" spans="1:1" s="4" customFormat="1" x14ac:dyDescent="0.35">
      <c r="A739" s="5"/>
    </row>
    <row r="740" spans="1:1" s="4" customFormat="1" x14ac:dyDescent="0.35">
      <c r="A740" s="5"/>
    </row>
    <row r="741" spans="1:1" s="4" customFormat="1" x14ac:dyDescent="0.35">
      <c r="A741" s="5"/>
    </row>
    <row r="742" spans="1:1" s="4" customFormat="1" x14ac:dyDescent="0.35">
      <c r="A742" s="5"/>
    </row>
    <row r="743" spans="1:1" s="4" customFormat="1" x14ac:dyDescent="0.35">
      <c r="A743" s="5"/>
    </row>
    <row r="744" spans="1:1" s="4" customFormat="1" x14ac:dyDescent="0.35">
      <c r="A744" s="5"/>
    </row>
    <row r="745" spans="1:1" s="4" customFormat="1" x14ac:dyDescent="0.35">
      <c r="A745" s="5"/>
    </row>
    <row r="746" spans="1:1" s="4" customFormat="1" x14ac:dyDescent="0.35">
      <c r="A746" s="5"/>
    </row>
    <row r="747" spans="1:1" s="4" customFormat="1" x14ac:dyDescent="0.35">
      <c r="A747" s="5"/>
    </row>
    <row r="748" spans="1:1" s="4" customFormat="1" x14ac:dyDescent="0.35">
      <c r="A748" s="5"/>
    </row>
    <row r="749" spans="1:1" s="4" customFormat="1" x14ac:dyDescent="0.35">
      <c r="A749" s="5"/>
    </row>
    <row r="750" spans="1:1" s="4" customFormat="1" x14ac:dyDescent="0.35">
      <c r="A750" s="5"/>
    </row>
    <row r="751" spans="1:1" s="4" customFormat="1" x14ac:dyDescent="0.35">
      <c r="A751" s="5"/>
    </row>
    <row r="752" spans="1:1" s="4" customFormat="1" x14ac:dyDescent="0.35">
      <c r="A752" s="5"/>
    </row>
    <row r="753" spans="1:1" s="4" customFormat="1" x14ac:dyDescent="0.35">
      <c r="A753" s="5"/>
    </row>
    <row r="754" spans="1:1" s="4" customFormat="1" x14ac:dyDescent="0.35">
      <c r="A754" s="5"/>
    </row>
    <row r="755" spans="1:1" s="4" customFormat="1" x14ac:dyDescent="0.35">
      <c r="A755" s="5"/>
    </row>
    <row r="756" spans="1:1" s="4" customFormat="1" x14ac:dyDescent="0.35">
      <c r="A756" s="5"/>
    </row>
    <row r="757" spans="1:1" s="4" customFormat="1" x14ac:dyDescent="0.35">
      <c r="A757" s="5"/>
    </row>
    <row r="758" spans="1:1" s="4" customFormat="1" x14ac:dyDescent="0.35">
      <c r="A758" s="5"/>
    </row>
    <row r="759" spans="1:1" s="4" customFormat="1" x14ac:dyDescent="0.35">
      <c r="A759" s="5"/>
    </row>
    <row r="760" spans="1:1" s="4" customFormat="1" x14ac:dyDescent="0.35">
      <c r="A760" s="5"/>
    </row>
    <row r="761" spans="1:1" s="4" customFormat="1" x14ac:dyDescent="0.35">
      <c r="A761" s="5"/>
    </row>
    <row r="762" spans="1:1" s="4" customFormat="1" x14ac:dyDescent="0.35">
      <c r="A762" s="5"/>
    </row>
    <row r="763" spans="1:1" s="4" customFormat="1" x14ac:dyDescent="0.35">
      <c r="A763" s="5"/>
    </row>
    <row r="764" spans="1:1" s="4" customFormat="1" x14ac:dyDescent="0.35">
      <c r="A764" s="5"/>
    </row>
    <row r="765" spans="1:1" s="4" customFormat="1" x14ac:dyDescent="0.35">
      <c r="A765" s="5"/>
    </row>
    <row r="766" spans="1:1" s="4" customFormat="1" x14ac:dyDescent="0.35">
      <c r="A766" s="5"/>
    </row>
    <row r="767" spans="1:1" s="4" customFormat="1" x14ac:dyDescent="0.35">
      <c r="A767" s="5"/>
    </row>
    <row r="768" spans="1:1" s="4" customFormat="1" x14ac:dyDescent="0.35">
      <c r="A768" s="5"/>
    </row>
    <row r="769" spans="1:1" s="4" customFormat="1" x14ac:dyDescent="0.35">
      <c r="A769" s="5"/>
    </row>
    <row r="770" spans="1:1" s="4" customFormat="1" x14ac:dyDescent="0.35">
      <c r="A770" s="5"/>
    </row>
    <row r="771" spans="1:1" s="4" customFormat="1" x14ac:dyDescent="0.35">
      <c r="A771" s="5"/>
    </row>
    <row r="772" spans="1:1" s="4" customFormat="1" x14ac:dyDescent="0.35">
      <c r="A772" s="5"/>
    </row>
    <row r="773" spans="1:1" s="4" customFormat="1" x14ac:dyDescent="0.35">
      <c r="A773" s="5"/>
    </row>
    <row r="774" spans="1:1" s="4" customFormat="1" x14ac:dyDescent="0.35">
      <c r="A774" s="5"/>
    </row>
    <row r="775" spans="1:1" s="4" customFormat="1" x14ac:dyDescent="0.35">
      <c r="A775" s="5"/>
    </row>
    <row r="776" spans="1:1" s="4" customFormat="1" x14ac:dyDescent="0.35">
      <c r="A776" s="5"/>
    </row>
    <row r="777" spans="1:1" s="4" customFormat="1" x14ac:dyDescent="0.35">
      <c r="A777" s="5"/>
    </row>
    <row r="778" spans="1:1" s="4" customFormat="1" x14ac:dyDescent="0.35">
      <c r="A778" s="5"/>
    </row>
    <row r="779" spans="1:1" s="4" customFormat="1" x14ac:dyDescent="0.35">
      <c r="A779" s="5"/>
    </row>
    <row r="780" spans="1:1" s="4" customFormat="1" x14ac:dyDescent="0.35">
      <c r="A780" s="5"/>
    </row>
    <row r="781" spans="1:1" s="4" customFormat="1" x14ac:dyDescent="0.35">
      <c r="A781" s="5"/>
    </row>
    <row r="782" spans="1:1" s="4" customFormat="1" x14ac:dyDescent="0.35">
      <c r="A782" s="5"/>
    </row>
    <row r="783" spans="1:1" s="4" customFormat="1" x14ac:dyDescent="0.35">
      <c r="A783" s="5"/>
    </row>
    <row r="784" spans="1:1" s="4" customFormat="1" x14ac:dyDescent="0.35">
      <c r="A784" s="5"/>
    </row>
    <row r="785" spans="1:1" s="4" customFormat="1" x14ac:dyDescent="0.35">
      <c r="A785" s="5"/>
    </row>
    <row r="786" spans="1:1" s="4" customFormat="1" x14ac:dyDescent="0.35">
      <c r="A786" s="5"/>
    </row>
    <row r="787" spans="1:1" s="4" customFormat="1" x14ac:dyDescent="0.35">
      <c r="A787" s="5"/>
    </row>
    <row r="788" spans="1:1" s="4" customFormat="1" x14ac:dyDescent="0.35">
      <c r="A788" s="5"/>
    </row>
    <row r="789" spans="1:1" s="4" customFormat="1" x14ac:dyDescent="0.35">
      <c r="A789" s="5"/>
    </row>
    <row r="790" spans="1:1" s="4" customFormat="1" x14ac:dyDescent="0.35">
      <c r="A790" s="5"/>
    </row>
    <row r="791" spans="1:1" s="4" customFormat="1" x14ac:dyDescent="0.35">
      <c r="A791" s="5"/>
    </row>
    <row r="792" spans="1:1" s="4" customFormat="1" x14ac:dyDescent="0.35">
      <c r="A792" s="5"/>
    </row>
    <row r="793" spans="1:1" s="4" customFormat="1" x14ac:dyDescent="0.35">
      <c r="A793" s="5"/>
    </row>
    <row r="794" spans="1:1" s="4" customFormat="1" x14ac:dyDescent="0.35">
      <c r="A794" s="5"/>
    </row>
    <row r="795" spans="1:1" s="4" customFormat="1" x14ac:dyDescent="0.35">
      <c r="A795" s="5"/>
    </row>
    <row r="796" spans="1:1" s="4" customFormat="1" x14ac:dyDescent="0.35">
      <c r="A796" s="5"/>
    </row>
    <row r="797" spans="1:1" s="4" customFormat="1" x14ac:dyDescent="0.35">
      <c r="A797" s="5"/>
    </row>
    <row r="798" spans="1:1" s="4" customFormat="1" x14ac:dyDescent="0.35">
      <c r="A798" s="5"/>
    </row>
    <row r="799" spans="1:1" s="4" customFormat="1" x14ac:dyDescent="0.35">
      <c r="A799" s="5"/>
    </row>
    <row r="800" spans="1:1" s="4" customFormat="1" x14ac:dyDescent="0.35">
      <c r="A800" s="5"/>
    </row>
    <row r="801" spans="1:1" s="4" customFormat="1" x14ac:dyDescent="0.35">
      <c r="A801" s="5"/>
    </row>
    <row r="802" spans="1:1" s="4" customFormat="1" x14ac:dyDescent="0.35">
      <c r="A802" s="5"/>
    </row>
    <row r="803" spans="1:1" s="4" customFormat="1" x14ac:dyDescent="0.35">
      <c r="A803" s="5"/>
    </row>
    <row r="804" spans="1:1" s="4" customFormat="1" x14ac:dyDescent="0.35">
      <c r="A804" s="5"/>
    </row>
    <row r="805" spans="1:1" s="4" customFormat="1" x14ac:dyDescent="0.35">
      <c r="A805" s="5"/>
    </row>
    <row r="806" spans="1:1" s="4" customFormat="1" x14ac:dyDescent="0.35">
      <c r="A806" s="5"/>
    </row>
    <row r="807" spans="1:1" s="4" customFormat="1" x14ac:dyDescent="0.35">
      <c r="A807" s="5"/>
    </row>
    <row r="808" spans="1:1" s="4" customFormat="1" x14ac:dyDescent="0.35">
      <c r="A808" s="5"/>
    </row>
    <row r="809" spans="1:1" s="4" customFormat="1" x14ac:dyDescent="0.35">
      <c r="A809" s="5"/>
    </row>
    <row r="810" spans="1:1" s="4" customFormat="1" x14ac:dyDescent="0.35">
      <c r="A810" s="5"/>
    </row>
    <row r="811" spans="1:1" s="4" customFormat="1" x14ac:dyDescent="0.35">
      <c r="A811" s="5"/>
    </row>
    <row r="812" spans="1:1" s="4" customFormat="1" x14ac:dyDescent="0.35">
      <c r="A812" s="5"/>
    </row>
    <row r="813" spans="1:1" s="4" customFormat="1" x14ac:dyDescent="0.35">
      <c r="A813" s="5"/>
    </row>
    <row r="814" spans="1:1" s="4" customFormat="1" x14ac:dyDescent="0.35">
      <c r="A814" s="5"/>
    </row>
    <row r="815" spans="1:1" s="4" customFormat="1" x14ac:dyDescent="0.35">
      <c r="A815" s="5"/>
    </row>
    <row r="816" spans="1:1" s="4" customFormat="1" x14ac:dyDescent="0.35">
      <c r="A816" s="5"/>
    </row>
    <row r="817" spans="1:1" s="4" customFormat="1" x14ac:dyDescent="0.35">
      <c r="A817" s="5"/>
    </row>
    <row r="818" spans="1:1" s="4" customFormat="1" x14ac:dyDescent="0.35">
      <c r="A818" s="5"/>
    </row>
    <row r="819" spans="1:1" s="4" customFormat="1" x14ac:dyDescent="0.35">
      <c r="A819" s="5"/>
    </row>
    <row r="820" spans="1:1" s="4" customFormat="1" x14ac:dyDescent="0.35">
      <c r="A820" s="5"/>
    </row>
    <row r="821" spans="1:1" s="4" customFormat="1" x14ac:dyDescent="0.35">
      <c r="A821" s="5"/>
    </row>
    <row r="822" spans="1:1" s="4" customFormat="1" x14ac:dyDescent="0.35">
      <c r="A822" s="5"/>
    </row>
    <row r="823" spans="1:1" s="4" customFormat="1" x14ac:dyDescent="0.35">
      <c r="A823" s="5"/>
    </row>
    <row r="824" spans="1:1" s="4" customFormat="1" x14ac:dyDescent="0.35">
      <c r="A824" s="5"/>
    </row>
    <row r="825" spans="1:1" s="4" customFormat="1" x14ac:dyDescent="0.35">
      <c r="A825" s="5"/>
    </row>
    <row r="826" spans="1:1" s="4" customFormat="1" x14ac:dyDescent="0.35">
      <c r="A826" s="5"/>
    </row>
    <row r="827" spans="1:1" s="4" customFormat="1" x14ac:dyDescent="0.35">
      <c r="A827" s="5"/>
    </row>
    <row r="828" spans="1:1" s="4" customFormat="1" x14ac:dyDescent="0.35">
      <c r="A828" s="5"/>
    </row>
    <row r="829" spans="1:1" s="4" customFormat="1" x14ac:dyDescent="0.35">
      <c r="A829" s="5"/>
    </row>
    <row r="830" spans="1:1" s="4" customFormat="1" x14ac:dyDescent="0.35">
      <c r="A830" s="5"/>
    </row>
    <row r="831" spans="1:1" s="4" customFormat="1" x14ac:dyDescent="0.35">
      <c r="A831" s="5"/>
    </row>
    <row r="832" spans="1:1" s="4" customFormat="1" x14ac:dyDescent="0.35">
      <c r="A832" s="5"/>
    </row>
    <row r="833" spans="1:1" s="4" customFormat="1" x14ac:dyDescent="0.35">
      <c r="A833" s="5"/>
    </row>
    <row r="834" spans="1:1" s="4" customFormat="1" x14ac:dyDescent="0.35">
      <c r="A834" s="5"/>
    </row>
    <row r="835" spans="1:1" s="4" customFormat="1" x14ac:dyDescent="0.35">
      <c r="A835" s="5"/>
    </row>
    <row r="836" spans="1:1" s="4" customFormat="1" x14ac:dyDescent="0.35">
      <c r="A836" s="5"/>
    </row>
    <row r="837" spans="1:1" s="4" customFormat="1" x14ac:dyDescent="0.35">
      <c r="A837" s="5"/>
    </row>
    <row r="838" spans="1:1" s="4" customFormat="1" x14ac:dyDescent="0.35">
      <c r="A838" s="5"/>
    </row>
    <row r="839" spans="1:1" s="4" customFormat="1" x14ac:dyDescent="0.35">
      <c r="A839" s="5"/>
    </row>
    <row r="840" spans="1:1" s="4" customFormat="1" x14ac:dyDescent="0.35">
      <c r="A840" s="5"/>
    </row>
    <row r="841" spans="1:1" s="4" customFormat="1" x14ac:dyDescent="0.35">
      <c r="A841" s="5"/>
    </row>
    <row r="842" spans="1:1" s="4" customFormat="1" x14ac:dyDescent="0.35">
      <c r="A842" s="5"/>
    </row>
    <row r="843" spans="1:1" s="4" customFormat="1" x14ac:dyDescent="0.35">
      <c r="A843" s="5"/>
    </row>
    <row r="844" spans="1:1" s="4" customFormat="1" x14ac:dyDescent="0.35">
      <c r="A844" s="5"/>
    </row>
    <row r="845" spans="1:1" s="4" customFormat="1" x14ac:dyDescent="0.35">
      <c r="A845" s="5"/>
    </row>
    <row r="846" spans="1:1" s="4" customFormat="1" x14ac:dyDescent="0.35">
      <c r="A846" s="5"/>
    </row>
    <row r="847" spans="1:1" s="4" customFormat="1" x14ac:dyDescent="0.35">
      <c r="A847" s="5"/>
    </row>
    <row r="848" spans="1:1" s="4" customFormat="1" x14ac:dyDescent="0.35">
      <c r="A848" s="5"/>
    </row>
    <row r="849" spans="1:1" s="4" customFormat="1" x14ac:dyDescent="0.35">
      <c r="A849" s="5"/>
    </row>
    <row r="850" spans="1:1" s="4" customFormat="1" x14ac:dyDescent="0.35">
      <c r="A850" s="5"/>
    </row>
    <row r="851" spans="1:1" s="4" customFormat="1" x14ac:dyDescent="0.35">
      <c r="A851" s="5"/>
    </row>
    <row r="852" spans="1:1" s="4" customFormat="1" x14ac:dyDescent="0.35">
      <c r="A852" s="5"/>
    </row>
    <row r="853" spans="1:1" s="4" customFormat="1" x14ac:dyDescent="0.35">
      <c r="A853" s="5"/>
    </row>
    <row r="854" spans="1:1" s="4" customFormat="1" x14ac:dyDescent="0.35">
      <c r="A854" s="5"/>
    </row>
    <row r="855" spans="1:1" s="4" customFormat="1" x14ac:dyDescent="0.35">
      <c r="A855" s="5"/>
    </row>
    <row r="856" spans="1:1" s="4" customFormat="1" x14ac:dyDescent="0.35">
      <c r="A856" s="5"/>
    </row>
    <row r="857" spans="1:1" s="4" customFormat="1" x14ac:dyDescent="0.35">
      <c r="A857" s="5"/>
    </row>
    <row r="858" spans="1:1" s="4" customFormat="1" x14ac:dyDescent="0.35">
      <c r="A858" s="5"/>
    </row>
    <row r="859" spans="1:1" s="4" customFormat="1" x14ac:dyDescent="0.35">
      <c r="A859" s="5"/>
    </row>
    <row r="860" spans="1:1" s="4" customFormat="1" x14ac:dyDescent="0.35">
      <c r="A860" s="5"/>
    </row>
    <row r="861" spans="1:1" s="4" customFormat="1" x14ac:dyDescent="0.35">
      <c r="A861" s="5"/>
    </row>
    <row r="862" spans="1:1" s="4" customFormat="1" x14ac:dyDescent="0.35">
      <c r="A862" s="5"/>
    </row>
    <row r="863" spans="1:1" s="4" customFormat="1" x14ac:dyDescent="0.35">
      <c r="A863" s="5"/>
    </row>
    <row r="864" spans="1:1" s="4" customFormat="1" x14ac:dyDescent="0.35">
      <c r="A864" s="5"/>
    </row>
    <row r="865" spans="1:1" s="4" customFormat="1" x14ac:dyDescent="0.35">
      <c r="A865" s="5"/>
    </row>
    <row r="866" spans="1:1" s="4" customFormat="1" x14ac:dyDescent="0.35">
      <c r="A866" s="5"/>
    </row>
    <row r="867" spans="1:1" s="4" customFormat="1" x14ac:dyDescent="0.35">
      <c r="A867" s="5"/>
    </row>
    <row r="868" spans="1:1" s="4" customFormat="1" x14ac:dyDescent="0.35">
      <c r="A868" s="5"/>
    </row>
    <row r="869" spans="1:1" s="4" customFormat="1" x14ac:dyDescent="0.35">
      <c r="A869" s="5"/>
    </row>
    <row r="870" spans="1:1" s="4" customFormat="1" x14ac:dyDescent="0.35">
      <c r="A870" s="5"/>
    </row>
    <row r="871" spans="1:1" s="4" customFormat="1" x14ac:dyDescent="0.35">
      <c r="A871" s="5"/>
    </row>
    <row r="872" spans="1:1" s="4" customFormat="1" x14ac:dyDescent="0.35">
      <c r="A872" s="5"/>
    </row>
    <row r="873" spans="1:1" s="4" customFormat="1" x14ac:dyDescent="0.35">
      <c r="A873" s="5"/>
    </row>
    <row r="874" spans="1:1" s="4" customFormat="1" x14ac:dyDescent="0.35">
      <c r="A874" s="5"/>
    </row>
    <row r="875" spans="1:1" s="4" customFormat="1" x14ac:dyDescent="0.35">
      <c r="A875" s="5"/>
    </row>
    <row r="876" spans="1:1" s="4" customFormat="1" x14ac:dyDescent="0.35">
      <c r="A876" s="5"/>
    </row>
    <row r="877" spans="1:1" s="4" customFormat="1" x14ac:dyDescent="0.35">
      <c r="A877" s="5"/>
    </row>
    <row r="878" spans="1:1" s="4" customFormat="1" x14ac:dyDescent="0.35">
      <c r="A878" s="5"/>
    </row>
    <row r="879" spans="1:1" s="4" customFormat="1" x14ac:dyDescent="0.35">
      <c r="A879" s="5"/>
    </row>
    <row r="880" spans="1:1" s="4" customFormat="1" x14ac:dyDescent="0.35">
      <c r="A880" s="5"/>
    </row>
    <row r="881" spans="1:1" s="4" customFormat="1" x14ac:dyDescent="0.35">
      <c r="A881" s="5"/>
    </row>
    <row r="882" spans="1:1" s="4" customFormat="1" x14ac:dyDescent="0.35">
      <c r="A882" s="5"/>
    </row>
    <row r="883" spans="1:1" s="4" customFormat="1" x14ac:dyDescent="0.35">
      <c r="A883" s="5"/>
    </row>
    <row r="884" spans="1:1" s="4" customFormat="1" x14ac:dyDescent="0.35">
      <c r="A884" s="5"/>
    </row>
    <row r="885" spans="1:1" s="4" customFormat="1" x14ac:dyDescent="0.35">
      <c r="A885" s="5"/>
    </row>
    <row r="886" spans="1:1" s="4" customFormat="1" x14ac:dyDescent="0.35">
      <c r="A886" s="5"/>
    </row>
    <row r="887" spans="1:1" s="4" customFormat="1" x14ac:dyDescent="0.35">
      <c r="A887" s="5"/>
    </row>
    <row r="888" spans="1:1" s="4" customFormat="1" x14ac:dyDescent="0.35">
      <c r="A888" s="5"/>
    </row>
    <row r="889" spans="1:1" s="4" customFormat="1" x14ac:dyDescent="0.35">
      <c r="A889" s="5"/>
    </row>
    <row r="890" spans="1:1" s="4" customFormat="1" x14ac:dyDescent="0.35">
      <c r="A890" s="5"/>
    </row>
    <row r="891" spans="1:1" s="4" customFormat="1" x14ac:dyDescent="0.35">
      <c r="A891" s="5"/>
    </row>
    <row r="892" spans="1:1" s="4" customFormat="1" x14ac:dyDescent="0.35">
      <c r="A892" s="5"/>
    </row>
    <row r="893" spans="1:1" s="4" customFormat="1" x14ac:dyDescent="0.35">
      <c r="A893" s="5"/>
    </row>
    <row r="894" spans="1:1" s="4" customFormat="1" x14ac:dyDescent="0.35">
      <c r="A894" s="5"/>
    </row>
    <row r="895" spans="1:1" s="4" customFormat="1" x14ac:dyDescent="0.35">
      <c r="A895" s="5"/>
    </row>
    <row r="896" spans="1:1" s="4" customFormat="1" x14ac:dyDescent="0.35">
      <c r="A896" s="5"/>
    </row>
    <row r="897" spans="1:1" s="4" customFormat="1" x14ac:dyDescent="0.35">
      <c r="A897" s="5"/>
    </row>
    <row r="898" spans="1:1" s="4" customFormat="1" x14ac:dyDescent="0.35">
      <c r="A898" s="5"/>
    </row>
    <row r="899" spans="1:1" s="4" customFormat="1" x14ac:dyDescent="0.35">
      <c r="A899" s="5"/>
    </row>
    <row r="900" spans="1:1" s="4" customFormat="1" x14ac:dyDescent="0.35">
      <c r="A900" s="5"/>
    </row>
    <row r="901" spans="1:1" s="4" customFormat="1" x14ac:dyDescent="0.35">
      <c r="A901" s="5"/>
    </row>
    <row r="902" spans="1:1" s="4" customFormat="1" x14ac:dyDescent="0.35">
      <c r="A902" s="5"/>
    </row>
    <row r="903" spans="1:1" s="4" customFormat="1" x14ac:dyDescent="0.35">
      <c r="A903" s="5"/>
    </row>
    <row r="904" spans="1:1" s="4" customFormat="1" x14ac:dyDescent="0.35">
      <c r="A904" s="5"/>
    </row>
    <row r="905" spans="1:1" s="4" customFormat="1" x14ac:dyDescent="0.35">
      <c r="A905" s="5"/>
    </row>
    <row r="906" spans="1:1" s="4" customFormat="1" x14ac:dyDescent="0.35">
      <c r="A906" s="5"/>
    </row>
    <row r="907" spans="1:1" s="4" customFormat="1" x14ac:dyDescent="0.35">
      <c r="A907" s="5"/>
    </row>
    <row r="908" spans="1:1" s="4" customFormat="1" x14ac:dyDescent="0.35">
      <c r="A908" s="5"/>
    </row>
    <row r="909" spans="1:1" s="4" customFormat="1" x14ac:dyDescent="0.35">
      <c r="A909" s="5"/>
    </row>
    <row r="910" spans="1:1" s="4" customFormat="1" x14ac:dyDescent="0.35">
      <c r="A910" s="5"/>
    </row>
    <row r="911" spans="1:1" s="4" customFormat="1" x14ac:dyDescent="0.35">
      <c r="A911" s="5"/>
    </row>
    <row r="912" spans="1:1" s="4" customFormat="1" x14ac:dyDescent="0.35">
      <c r="A912" s="5"/>
    </row>
    <row r="913" spans="1:1" s="4" customFormat="1" x14ac:dyDescent="0.35">
      <c r="A913" s="5"/>
    </row>
    <row r="914" spans="1:1" s="4" customFormat="1" x14ac:dyDescent="0.35">
      <c r="A914" s="5"/>
    </row>
    <row r="915" spans="1:1" s="4" customFormat="1" x14ac:dyDescent="0.35">
      <c r="A915" s="5"/>
    </row>
    <row r="916" spans="1:1" s="4" customFormat="1" x14ac:dyDescent="0.35">
      <c r="A916" s="5"/>
    </row>
    <row r="917" spans="1:1" s="4" customFormat="1" x14ac:dyDescent="0.35">
      <c r="A917" s="5"/>
    </row>
    <row r="918" spans="1:1" s="4" customFormat="1" x14ac:dyDescent="0.35">
      <c r="A918" s="5"/>
    </row>
    <row r="919" spans="1:1" s="4" customFormat="1" x14ac:dyDescent="0.35">
      <c r="A919" s="5"/>
    </row>
    <row r="920" spans="1:1" s="4" customFormat="1" x14ac:dyDescent="0.35">
      <c r="A920" s="5"/>
    </row>
    <row r="921" spans="1:1" s="4" customFormat="1" x14ac:dyDescent="0.35">
      <c r="A921" s="5"/>
    </row>
    <row r="922" spans="1:1" s="4" customFormat="1" x14ac:dyDescent="0.35">
      <c r="A922" s="5"/>
    </row>
    <row r="923" spans="1:1" s="4" customFormat="1" x14ac:dyDescent="0.35">
      <c r="A923" s="5"/>
    </row>
    <row r="924" spans="1:1" s="4" customFormat="1" ht="14" x14ac:dyDescent="0.3"/>
    <row r="925" spans="1:1" s="4" customFormat="1" ht="14" x14ac:dyDescent="0.3"/>
    <row r="926" spans="1:1" s="4" customFormat="1" ht="14" x14ac:dyDescent="0.3"/>
    <row r="927" spans="1:1" s="4" customFormat="1" ht="14" x14ac:dyDescent="0.3"/>
    <row r="928" spans="1:1" s="4" customFormat="1" ht="14" x14ac:dyDescent="0.3"/>
    <row r="929" s="4" customFormat="1" ht="14" x14ac:dyDescent="0.3"/>
    <row r="930" s="4" customFormat="1" ht="14" x14ac:dyDescent="0.3"/>
    <row r="931" s="4" customFormat="1" ht="14" x14ac:dyDescent="0.3"/>
    <row r="932" s="4" customFormat="1" ht="14" x14ac:dyDescent="0.3"/>
    <row r="933" s="4" customFormat="1" ht="14" x14ac:dyDescent="0.3"/>
    <row r="934" s="4" customFormat="1" ht="14" x14ac:dyDescent="0.3"/>
    <row r="935" s="4" customFormat="1" ht="14" x14ac:dyDescent="0.3"/>
    <row r="936" s="4" customFormat="1" ht="14" x14ac:dyDescent="0.3"/>
    <row r="937" s="4" customFormat="1" ht="14" x14ac:dyDescent="0.3"/>
    <row r="938" s="4" customFormat="1" ht="14" x14ac:dyDescent="0.3"/>
    <row r="939" s="4" customFormat="1" ht="14" x14ac:dyDescent="0.3"/>
    <row r="940" s="4" customFormat="1" ht="14" x14ac:dyDescent="0.3"/>
    <row r="941" s="4" customFormat="1" ht="14" x14ac:dyDescent="0.3"/>
    <row r="942" s="4" customFormat="1" ht="14" x14ac:dyDescent="0.3"/>
    <row r="943" s="4" customFormat="1" ht="14" x14ac:dyDescent="0.3"/>
    <row r="944" s="4" customFormat="1" ht="14" x14ac:dyDescent="0.3"/>
    <row r="945" s="4" customFormat="1" ht="14" x14ac:dyDescent="0.3"/>
    <row r="946" s="4" customFormat="1" ht="14" x14ac:dyDescent="0.3"/>
    <row r="947" s="4" customFormat="1" ht="14" x14ac:dyDescent="0.3"/>
    <row r="948" s="4" customFormat="1" ht="14" x14ac:dyDescent="0.3"/>
    <row r="949" s="4" customFormat="1" ht="14" x14ac:dyDescent="0.3"/>
    <row r="950" s="4" customFormat="1" ht="14" x14ac:dyDescent="0.3"/>
    <row r="951" s="4" customFormat="1" ht="14" x14ac:dyDescent="0.3"/>
    <row r="952" s="4" customFormat="1" ht="14" x14ac:dyDescent="0.3"/>
    <row r="953" s="4" customFormat="1" ht="14" x14ac:dyDescent="0.3"/>
    <row r="954" s="4" customFormat="1" ht="14" x14ac:dyDescent="0.3"/>
    <row r="955" s="4" customFormat="1" ht="14" x14ac:dyDescent="0.3"/>
    <row r="956" s="4" customFormat="1" ht="14" x14ac:dyDescent="0.3"/>
    <row r="957" s="4" customFormat="1" ht="14" x14ac:dyDescent="0.3"/>
    <row r="958" s="4" customFormat="1" ht="14" x14ac:dyDescent="0.3"/>
    <row r="959" s="4" customFormat="1" ht="14" x14ac:dyDescent="0.3"/>
    <row r="960" s="4" customFormat="1" ht="14" x14ac:dyDescent="0.3"/>
    <row r="961" s="4" customFormat="1" ht="14" x14ac:dyDescent="0.3"/>
    <row r="962" s="4" customFormat="1" ht="14" x14ac:dyDescent="0.3"/>
    <row r="963" s="4" customFormat="1" ht="14" x14ac:dyDescent="0.3"/>
    <row r="964" s="4" customFormat="1" ht="14" x14ac:dyDescent="0.3"/>
    <row r="965" s="4" customFormat="1" ht="14" x14ac:dyDescent="0.3"/>
    <row r="966" s="4" customFormat="1" ht="14" x14ac:dyDescent="0.3"/>
    <row r="967" s="4" customFormat="1" ht="14" x14ac:dyDescent="0.3"/>
    <row r="968" s="4" customFormat="1" ht="14" x14ac:dyDescent="0.3"/>
    <row r="969" s="4" customFormat="1" ht="14" x14ac:dyDescent="0.3"/>
    <row r="970" s="4" customFormat="1" ht="14" x14ac:dyDescent="0.3"/>
    <row r="971" s="4" customFormat="1" ht="14" x14ac:dyDescent="0.3"/>
    <row r="972" s="4" customFormat="1" ht="14" x14ac:dyDescent="0.3"/>
    <row r="973" s="4" customFormat="1" ht="14" x14ac:dyDescent="0.3"/>
    <row r="974" s="4" customFormat="1" ht="14" x14ac:dyDescent="0.3"/>
    <row r="975" s="4" customFormat="1" ht="14" x14ac:dyDescent="0.3"/>
    <row r="976" s="4" customFormat="1" ht="14" x14ac:dyDescent="0.3"/>
    <row r="977" s="4" customFormat="1" ht="14" x14ac:dyDescent="0.3"/>
    <row r="978" s="4" customFormat="1" ht="14" x14ac:dyDescent="0.3"/>
    <row r="979" s="4" customFormat="1" ht="14" x14ac:dyDescent="0.3"/>
    <row r="980" s="4" customFormat="1" ht="14" x14ac:dyDescent="0.3"/>
    <row r="981" s="4" customFormat="1" ht="14" x14ac:dyDescent="0.3"/>
    <row r="982" s="4" customFormat="1" ht="14" x14ac:dyDescent="0.3"/>
    <row r="983" s="4" customFormat="1" ht="14" x14ac:dyDescent="0.3"/>
    <row r="984" s="4" customFormat="1" ht="14" x14ac:dyDescent="0.3"/>
    <row r="985" s="4" customFormat="1" ht="14" x14ac:dyDescent="0.3"/>
    <row r="986" s="4" customFormat="1" ht="14" x14ac:dyDescent="0.3"/>
    <row r="987" s="4" customFormat="1" ht="14" x14ac:dyDescent="0.3"/>
    <row r="988" s="4" customFormat="1" ht="14" x14ac:dyDescent="0.3"/>
    <row r="989" s="4" customFormat="1" ht="14" x14ac:dyDescent="0.3"/>
    <row r="990" s="4" customFormat="1" ht="14" x14ac:dyDescent="0.3"/>
    <row r="991" s="4" customFormat="1" ht="14" x14ac:dyDescent="0.3"/>
    <row r="992" s="4" customFormat="1" ht="14" x14ac:dyDescent="0.3"/>
    <row r="993" s="4" customFormat="1" ht="14" x14ac:dyDescent="0.3"/>
    <row r="994" s="4" customFormat="1" ht="14" x14ac:dyDescent="0.3"/>
    <row r="995" s="4" customFormat="1" ht="14" x14ac:dyDescent="0.3"/>
    <row r="996" s="4" customFormat="1" ht="14" x14ac:dyDescent="0.3"/>
    <row r="997" s="4" customFormat="1" ht="14" x14ac:dyDescent="0.3"/>
    <row r="998" s="4" customFormat="1" ht="14" x14ac:dyDescent="0.3"/>
    <row r="999" s="4" customFormat="1" ht="14" x14ac:dyDescent="0.3"/>
    <row r="1000" s="4" customFormat="1" ht="14" x14ac:dyDescent="0.3"/>
    <row r="1001" s="4" customFormat="1" ht="14" x14ac:dyDescent="0.3"/>
    <row r="1002" s="4" customFormat="1" ht="14" x14ac:dyDescent="0.3"/>
    <row r="1003" s="4" customFormat="1" ht="14" x14ac:dyDescent="0.3"/>
    <row r="1004" s="4" customFormat="1" ht="14" x14ac:dyDescent="0.3"/>
    <row r="1005" s="4" customFormat="1" ht="14" x14ac:dyDescent="0.3"/>
    <row r="1006" s="4" customFormat="1" ht="14" x14ac:dyDescent="0.3"/>
    <row r="1007" s="4" customFormat="1" ht="14" x14ac:dyDescent="0.3"/>
    <row r="1008" s="4" customFormat="1" ht="14" x14ac:dyDescent="0.3"/>
    <row r="1009" s="4" customFormat="1" ht="14" x14ac:dyDescent="0.3"/>
    <row r="1010" s="4" customFormat="1" ht="14" x14ac:dyDescent="0.3"/>
    <row r="1011" s="4" customFormat="1" ht="14" x14ac:dyDescent="0.3"/>
    <row r="1012" s="4" customFormat="1" ht="14" x14ac:dyDescent="0.3"/>
    <row r="1013" s="4" customFormat="1" ht="14" x14ac:dyDescent="0.3"/>
    <row r="1014" s="4" customFormat="1" ht="14" x14ac:dyDescent="0.3"/>
    <row r="1015" s="4" customFormat="1" ht="14" x14ac:dyDescent="0.3"/>
    <row r="1016" s="4" customFormat="1" ht="14" x14ac:dyDescent="0.3"/>
    <row r="1017" s="4" customFormat="1" ht="14" x14ac:dyDescent="0.3"/>
    <row r="1018" s="4" customFormat="1" ht="14" x14ac:dyDescent="0.3"/>
    <row r="1019" s="4" customFormat="1" ht="14" x14ac:dyDescent="0.3"/>
    <row r="1020" s="4" customFormat="1" ht="14" x14ac:dyDescent="0.3"/>
    <row r="1021" s="4" customFormat="1" ht="14" x14ac:dyDescent="0.3"/>
    <row r="1022" s="4" customFormat="1" ht="14" x14ac:dyDescent="0.3"/>
    <row r="1023" s="4" customFormat="1" ht="14" x14ac:dyDescent="0.3"/>
    <row r="1024" s="4" customFormat="1" ht="14" x14ac:dyDescent="0.3"/>
    <row r="1025" s="4" customFormat="1" ht="14" x14ac:dyDescent="0.3"/>
    <row r="1026" s="4" customFormat="1" ht="14" x14ac:dyDescent="0.3"/>
    <row r="1027" s="4" customFormat="1" ht="14" x14ac:dyDescent="0.3"/>
    <row r="1028" s="4" customFormat="1" ht="14" x14ac:dyDescent="0.3"/>
    <row r="1029" s="4" customFormat="1" ht="14" x14ac:dyDescent="0.3"/>
    <row r="1030" s="4" customFormat="1" ht="14" x14ac:dyDescent="0.3"/>
    <row r="1031" s="4" customFormat="1" ht="14" x14ac:dyDescent="0.3"/>
    <row r="1032" s="4" customFormat="1" ht="14" x14ac:dyDescent="0.3"/>
    <row r="1033" s="4" customFormat="1" ht="14" x14ac:dyDescent="0.3"/>
    <row r="1034" s="4" customFormat="1" ht="14" x14ac:dyDescent="0.3"/>
    <row r="1035" s="4" customFormat="1" ht="14" x14ac:dyDescent="0.3"/>
    <row r="1036" s="4" customFormat="1" ht="14" x14ac:dyDescent="0.3"/>
    <row r="1037" s="4" customFormat="1" ht="14" x14ac:dyDescent="0.3"/>
    <row r="1038" s="4" customFormat="1" ht="14" x14ac:dyDescent="0.3"/>
    <row r="1039" s="4" customFormat="1" ht="14" x14ac:dyDescent="0.3"/>
    <row r="1040" s="4" customFormat="1" ht="14" x14ac:dyDescent="0.3"/>
    <row r="1041" s="4" customFormat="1" ht="14" x14ac:dyDescent="0.3"/>
    <row r="1042" s="4" customFormat="1" ht="14" x14ac:dyDescent="0.3"/>
    <row r="1043" s="4" customFormat="1" ht="14" x14ac:dyDescent="0.3"/>
    <row r="1044" s="4" customFormat="1" ht="14" x14ac:dyDescent="0.3"/>
    <row r="1045" s="4" customFormat="1" ht="14" x14ac:dyDescent="0.3"/>
    <row r="1046" s="4" customFormat="1" ht="14" x14ac:dyDescent="0.3"/>
    <row r="1047" s="4" customFormat="1" ht="14" x14ac:dyDescent="0.3"/>
    <row r="1048" s="4" customFormat="1" ht="14" x14ac:dyDescent="0.3"/>
    <row r="1049" s="4" customFormat="1" ht="14" x14ac:dyDescent="0.3"/>
    <row r="1050" s="4" customFormat="1" ht="14" x14ac:dyDescent="0.3"/>
    <row r="1051" s="4" customFormat="1" ht="14" x14ac:dyDescent="0.3"/>
    <row r="1052" s="4" customFormat="1" ht="14" x14ac:dyDescent="0.3"/>
    <row r="1053" s="4" customFormat="1" ht="14" x14ac:dyDescent="0.3"/>
    <row r="1054" s="4" customFormat="1" ht="14" x14ac:dyDescent="0.3"/>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0F48-6DBB-4B09-8A18-2CF2C0289807}">
  <sheetPr codeName="Sheet8"/>
  <dimension ref="A1:C193"/>
  <sheetViews>
    <sheetView workbookViewId="0">
      <selection activeCell="C2" sqref="C2"/>
    </sheetView>
  </sheetViews>
  <sheetFormatPr defaultRowHeight="14.5" x14ac:dyDescent="0.35"/>
  <cols>
    <col min="1" max="1" width="13" bestFit="1" customWidth="1"/>
    <col min="2" max="2" width="10.81640625" style="57" bestFit="1" customWidth="1"/>
    <col min="3" max="3" width="13" bestFit="1" customWidth="1"/>
  </cols>
  <sheetData>
    <row r="1" spans="1:3" x14ac:dyDescent="0.35">
      <c r="A1" t="s">
        <v>1645</v>
      </c>
      <c r="B1" s="57" t="s">
        <v>1646</v>
      </c>
      <c r="C1" t="s">
        <v>1647</v>
      </c>
    </row>
    <row r="2" spans="1:3" x14ac:dyDescent="0.35">
      <c r="A2" t="s">
        <v>430</v>
      </c>
      <c r="B2" s="57">
        <v>2</v>
      </c>
      <c r="C2" t="s">
        <v>430</v>
      </c>
    </row>
    <row r="3" spans="1:3" x14ac:dyDescent="0.35">
      <c r="A3" t="s">
        <v>47</v>
      </c>
      <c r="B3" s="57">
        <v>2</v>
      </c>
      <c r="C3" t="s">
        <v>47</v>
      </c>
    </row>
    <row r="4" spans="1:3" x14ac:dyDescent="0.35">
      <c r="A4" t="s">
        <v>435</v>
      </c>
      <c r="B4" s="57">
        <v>2</v>
      </c>
      <c r="C4" t="s">
        <v>435</v>
      </c>
    </row>
    <row r="5" spans="1:3" x14ac:dyDescent="0.35">
      <c r="A5" t="s">
        <v>121</v>
      </c>
      <c r="B5" s="57">
        <v>2</v>
      </c>
      <c r="C5" t="s">
        <v>121</v>
      </c>
    </row>
    <row r="6" spans="1:3" x14ac:dyDescent="0.35">
      <c r="A6" t="s">
        <v>127</v>
      </c>
      <c r="B6" s="57">
        <v>2</v>
      </c>
      <c r="C6" t="s">
        <v>127</v>
      </c>
    </row>
    <row r="7" spans="1:3" x14ac:dyDescent="0.35">
      <c r="A7" t="s">
        <v>131</v>
      </c>
      <c r="B7" s="57">
        <v>2</v>
      </c>
      <c r="C7" t="s">
        <v>131</v>
      </c>
    </row>
    <row r="8" spans="1:3" x14ac:dyDescent="0.35">
      <c r="A8" t="s">
        <v>134</v>
      </c>
      <c r="B8" s="57">
        <v>2</v>
      </c>
      <c r="C8" t="s">
        <v>134</v>
      </c>
    </row>
    <row r="9" spans="1:3" x14ac:dyDescent="0.35">
      <c r="A9" t="s">
        <v>445</v>
      </c>
      <c r="B9" s="57">
        <v>2</v>
      </c>
      <c r="C9" t="s">
        <v>445</v>
      </c>
    </row>
    <row r="10" spans="1:3" x14ac:dyDescent="0.35">
      <c r="A10" t="s">
        <v>138</v>
      </c>
      <c r="B10" s="57">
        <v>2</v>
      </c>
      <c r="C10" t="s">
        <v>138</v>
      </c>
    </row>
    <row r="11" spans="1:3" x14ac:dyDescent="0.35">
      <c r="A11" t="s">
        <v>1207</v>
      </c>
      <c r="B11" s="57">
        <v>2</v>
      </c>
      <c r="C11" t="s">
        <v>1207</v>
      </c>
    </row>
    <row r="12" spans="1:3" x14ac:dyDescent="0.35">
      <c r="A12" t="s">
        <v>447</v>
      </c>
      <c r="B12" s="57">
        <v>2</v>
      </c>
      <c r="C12" t="s">
        <v>447</v>
      </c>
    </row>
    <row r="13" spans="1:3" x14ac:dyDescent="0.35">
      <c r="A13" t="s">
        <v>142</v>
      </c>
      <c r="B13" s="57">
        <v>2</v>
      </c>
      <c r="C13" t="s">
        <v>142</v>
      </c>
    </row>
    <row r="14" spans="1:3" x14ac:dyDescent="0.35">
      <c r="A14" t="s">
        <v>452</v>
      </c>
      <c r="B14" s="57">
        <v>2</v>
      </c>
      <c r="C14" t="s">
        <v>452</v>
      </c>
    </row>
    <row r="15" spans="1:3" x14ac:dyDescent="0.35">
      <c r="A15" t="s">
        <v>146</v>
      </c>
      <c r="B15" s="57">
        <v>2</v>
      </c>
      <c r="C15" t="s">
        <v>146</v>
      </c>
    </row>
    <row r="16" spans="1:3" x14ac:dyDescent="0.35">
      <c r="A16" t="s">
        <v>459</v>
      </c>
      <c r="B16" s="57">
        <v>2</v>
      </c>
      <c r="C16" t="s">
        <v>459</v>
      </c>
    </row>
    <row r="17" spans="1:3" x14ac:dyDescent="0.35">
      <c r="A17" t="s">
        <v>153</v>
      </c>
      <c r="B17" s="57">
        <v>2</v>
      </c>
      <c r="C17" t="s">
        <v>153</v>
      </c>
    </row>
    <row r="18" spans="1:3" x14ac:dyDescent="0.35">
      <c r="A18" t="s">
        <v>945</v>
      </c>
      <c r="B18" s="57">
        <v>2</v>
      </c>
      <c r="C18" t="s">
        <v>945</v>
      </c>
    </row>
    <row r="19" spans="1:3" x14ac:dyDescent="0.35">
      <c r="A19" t="s">
        <v>157</v>
      </c>
      <c r="B19" s="57">
        <v>2</v>
      </c>
      <c r="C19" t="s">
        <v>157</v>
      </c>
    </row>
    <row r="20" spans="1:3" x14ac:dyDescent="0.35">
      <c r="A20" t="s">
        <v>467</v>
      </c>
      <c r="B20" s="57">
        <v>2</v>
      </c>
      <c r="C20" t="s">
        <v>467</v>
      </c>
    </row>
    <row r="21" spans="1:3" x14ac:dyDescent="0.35">
      <c r="A21" t="s">
        <v>472</v>
      </c>
      <c r="B21" s="57">
        <v>2</v>
      </c>
      <c r="C21" t="s">
        <v>472</v>
      </c>
    </row>
    <row r="22" spans="1:3" x14ac:dyDescent="0.35">
      <c r="A22" t="s">
        <v>475</v>
      </c>
      <c r="B22" s="57">
        <v>2</v>
      </c>
      <c r="C22" t="s">
        <v>475</v>
      </c>
    </row>
    <row r="23" spans="1:3" x14ac:dyDescent="0.35">
      <c r="A23" t="s">
        <v>479</v>
      </c>
      <c r="B23" s="57">
        <v>2</v>
      </c>
      <c r="C23" t="s">
        <v>479</v>
      </c>
    </row>
    <row r="24" spans="1:3" x14ac:dyDescent="0.35">
      <c r="A24" t="s">
        <v>484</v>
      </c>
      <c r="B24" s="57">
        <v>2</v>
      </c>
      <c r="C24" t="s">
        <v>484</v>
      </c>
    </row>
    <row r="25" spans="1:3" x14ac:dyDescent="0.35">
      <c r="A25" t="s">
        <v>161</v>
      </c>
      <c r="B25" s="57">
        <v>2</v>
      </c>
      <c r="C25" t="s">
        <v>161</v>
      </c>
    </row>
    <row r="26" spans="1:3" x14ac:dyDescent="0.35">
      <c r="A26" t="s">
        <v>165</v>
      </c>
      <c r="B26" s="57">
        <v>2</v>
      </c>
      <c r="C26" t="s">
        <v>165</v>
      </c>
    </row>
    <row r="27" spans="1:3" x14ac:dyDescent="0.35">
      <c r="A27" t="s">
        <v>168</v>
      </c>
      <c r="B27" s="57">
        <v>2</v>
      </c>
      <c r="C27" t="s">
        <v>168</v>
      </c>
    </row>
    <row r="28" spans="1:3" x14ac:dyDescent="0.35">
      <c r="A28" t="s">
        <v>172</v>
      </c>
      <c r="B28" s="57">
        <v>2</v>
      </c>
      <c r="C28" t="s">
        <v>172</v>
      </c>
    </row>
    <row r="29" spans="1:3" x14ac:dyDescent="0.35">
      <c r="A29" t="s">
        <v>176</v>
      </c>
      <c r="B29" s="57">
        <v>2</v>
      </c>
      <c r="C29" t="s">
        <v>176</v>
      </c>
    </row>
    <row r="30" spans="1:3" x14ac:dyDescent="0.35">
      <c r="A30" t="s">
        <v>180</v>
      </c>
      <c r="B30" s="57">
        <v>2</v>
      </c>
      <c r="C30" t="s">
        <v>180</v>
      </c>
    </row>
    <row r="31" spans="1:3" x14ac:dyDescent="0.35">
      <c r="A31" t="s">
        <v>184</v>
      </c>
      <c r="B31" s="57">
        <v>2</v>
      </c>
      <c r="C31" t="s">
        <v>184</v>
      </c>
    </row>
    <row r="32" spans="1:3" x14ac:dyDescent="0.35">
      <c r="A32" t="s">
        <v>188</v>
      </c>
      <c r="B32" s="57">
        <v>2</v>
      </c>
      <c r="C32" t="s">
        <v>188</v>
      </c>
    </row>
    <row r="33" spans="1:3" x14ac:dyDescent="0.35">
      <c r="A33" t="s">
        <v>113</v>
      </c>
      <c r="B33" s="57">
        <v>2</v>
      </c>
      <c r="C33" t="s">
        <v>113</v>
      </c>
    </row>
    <row r="34" spans="1:3" x14ac:dyDescent="0.35">
      <c r="A34" t="s">
        <v>495</v>
      </c>
      <c r="B34" s="57">
        <v>2</v>
      </c>
      <c r="C34" t="s">
        <v>495</v>
      </c>
    </row>
    <row r="35" spans="1:3" x14ac:dyDescent="0.35">
      <c r="A35" t="s">
        <v>63</v>
      </c>
      <c r="B35" s="57">
        <v>2</v>
      </c>
      <c r="C35" t="s">
        <v>63</v>
      </c>
    </row>
    <row r="36" spans="1:3" x14ac:dyDescent="0.35">
      <c r="A36" t="s">
        <v>192</v>
      </c>
      <c r="B36" s="57">
        <v>2</v>
      </c>
      <c r="C36" t="s">
        <v>192</v>
      </c>
    </row>
    <row r="37" spans="1:3" x14ac:dyDescent="0.35">
      <c r="A37" t="s">
        <v>500</v>
      </c>
      <c r="B37" s="57">
        <v>2</v>
      </c>
      <c r="C37" t="s">
        <v>500</v>
      </c>
    </row>
    <row r="38" spans="1:3" x14ac:dyDescent="0.35">
      <c r="A38" t="s">
        <v>503</v>
      </c>
      <c r="B38" s="57">
        <v>2</v>
      </c>
      <c r="C38" t="s">
        <v>503</v>
      </c>
    </row>
    <row r="39" spans="1:3" x14ac:dyDescent="0.35">
      <c r="A39" t="s">
        <v>43</v>
      </c>
      <c r="B39" s="57">
        <v>2</v>
      </c>
      <c r="C39" t="s">
        <v>43</v>
      </c>
    </row>
    <row r="40" spans="1:3" x14ac:dyDescent="0.35">
      <c r="A40" t="s">
        <v>511</v>
      </c>
      <c r="B40" s="57">
        <v>2</v>
      </c>
      <c r="C40" t="s">
        <v>511</v>
      </c>
    </row>
    <row r="41" spans="1:3" x14ac:dyDescent="0.35">
      <c r="A41" t="s">
        <v>196</v>
      </c>
      <c r="B41" s="57">
        <v>2</v>
      </c>
      <c r="C41" t="s">
        <v>196</v>
      </c>
    </row>
    <row r="42" spans="1:3" x14ac:dyDescent="0.35">
      <c r="A42" t="s">
        <v>517</v>
      </c>
      <c r="B42" s="57">
        <v>2</v>
      </c>
      <c r="C42" t="s">
        <v>517</v>
      </c>
    </row>
    <row r="43" spans="1:3" x14ac:dyDescent="0.35">
      <c r="A43" t="s">
        <v>200</v>
      </c>
      <c r="B43" s="57">
        <v>2</v>
      </c>
      <c r="C43" t="s">
        <v>200</v>
      </c>
    </row>
    <row r="44" spans="1:3" x14ac:dyDescent="0.35">
      <c r="A44" t="s">
        <v>520</v>
      </c>
      <c r="B44" s="57">
        <v>2</v>
      </c>
      <c r="C44" t="s">
        <v>520</v>
      </c>
    </row>
    <row r="45" spans="1:3" x14ac:dyDescent="0.35">
      <c r="A45" t="s">
        <v>522</v>
      </c>
      <c r="B45" s="57">
        <v>2</v>
      </c>
      <c r="C45" t="s">
        <v>522</v>
      </c>
    </row>
    <row r="46" spans="1:3" x14ac:dyDescent="0.35">
      <c r="A46" t="s">
        <v>525</v>
      </c>
      <c r="B46" s="57">
        <v>2</v>
      </c>
      <c r="C46" t="s">
        <v>525</v>
      </c>
    </row>
    <row r="47" spans="1:3" x14ac:dyDescent="0.35">
      <c r="A47" t="s">
        <v>527</v>
      </c>
      <c r="B47" s="57">
        <v>2</v>
      </c>
      <c r="C47" t="s">
        <v>527</v>
      </c>
    </row>
    <row r="48" spans="1:3" x14ac:dyDescent="0.35">
      <c r="A48" t="s">
        <v>529</v>
      </c>
      <c r="B48" s="57">
        <v>2</v>
      </c>
      <c r="C48" t="s">
        <v>529</v>
      </c>
    </row>
    <row r="49" spans="1:3" x14ac:dyDescent="0.35">
      <c r="A49" t="s">
        <v>531</v>
      </c>
      <c r="B49" s="57">
        <v>2</v>
      </c>
      <c r="C49" t="s">
        <v>531</v>
      </c>
    </row>
    <row r="50" spans="1:3" x14ac:dyDescent="0.35">
      <c r="A50" t="s">
        <v>1223</v>
      </c>
      <c r="B50" s="57">
        <v>2</v>
      </c>
      <c r="C50" t="s">
        <v>1223</v>
      </c>
    </row>
    <row r="51" spans="1:3" x14ac:dyDescent="0.35">
      <c r="A51" t="s">
        <v>967</v>
      </c>
      <c r="B51" s="57">
        <v>2</v>
      </c>
      <c r="C51" t="s">
        <v>967</v>
      </c>
    </row>
    <row r="52" spans="1:3" x14ac:dyDescent="0.35">
      <c r="A52" t="s">
        <v>222</v>
      </c>
      <c r="B52" s="57">
        <v>2</v>
      </c>
      <c r="C52" t="s">
        <v>222</v>
      </c>
    </row>
    <row r="53" spans="1:3" x14ac:dyDescent="0.35">
      <c r="A53" t="s">
        <v>535</v>
      </c>
      <c r="B53" s="57">
        <v>2</v>
      </c>
      <c r="C53" t="s">
        <v>535</v>
      </c>
    </row>
    <row r="54" spans="1:3" x14ac:dyDescent="0.35">
      <c r="A54" t="s">
        <v>539</v>
      </c>
      <c r="B54" s="57">
        <v>2</v>
      </c>
      <c r="C54" t="s">
        <v>539</v>
      </c>
    </row>
    <row r="55" spans="1:3" x14ac:dyDescent="0.35">
      <c r="A55" t="s">
        <v>542</v>
      </c>
      <c r="B55" s="57">
        <v>2</v>
      </c>
      <c r="C55" t="s">
        <v>542</v>
      </c>
    </row>
    <row r="56" spans="1:3" x14ac:dyDescent="0.35">
      <c r="A56" t="s">
        <v>229</v>
      </c>
      <c r="B56" s="57">
        <v>2</v>
      </c>
      <c r="C56" t="s">
        <v>229</v>
      </c>
    </row>
    <row r="57" spans="1:3" x14ac:dyDescent="0.35">
      <c r="A57" t="s">
        <v>545</v>
      </c>
      <c r="B57" s="57">
        <v>2</v>
      </c>
      <c r="C57" t="s">
        <v>545</v>
      </c>
    </row>
    <row r="58" spans="1:3" x14ac:dyDescent="0.35">
      <c r="A58" t="s">
        <v>233</v>
      </c>
      <c r="B58" s="57">
        <v>2</v>
      </c>
      <c r="C58" t="s">
        <v>233</v>
      </c>
    </row>
    <row r="59" spans="1:3" x14ac:dyDescent="0.35">
      <c r="A59" t="s">
        <v>81</v>
      </c>
      <c r="B59" s="57">
        <v>2</v>
      </c>
      <c r="C59" t="s">
        <v>81</v>
      </c>
    </row>
    <row r="60" spans="1:3" x14ac:dyDescent="0.35">
      <c r="A60" t="s">
        <v>235</v>
      </c>
      <c r="B60" s="57">
        <v>2</v>
      </c>
      <c r="C60" t="s">
        <v>235</v>
      </c>
    </row>
    <row r="61" spans="1:3" x14ac:dyDescent="0.35">
      <c r="A61" t="s">
        <v>550</v>
      </c>
      <c r="B61" s="57">
        <v>2</v>
      </c>
      <c r="C61" t="s">
        <v>550</v>
      </c>
    </row>
    <row r="62" spans="1:3" x14ac:dyDescent="0.35">
      <c r="A62" t="s">
        <v>555</v>
      </c>
      <c r="B62" s="57">
        <v>2</v>
      </c>
      <c r="C62" t="s">
        <v>555</v>
      </c>
    </row>
    <row r="63" spans="1:3" x14ac:dyDescent="0.35">
      <c r="A63" t="s">
        <v>980</v>
      </c>
      <c r="B63" s="57">
        <v>2</v>
      </c>
      <c r="C63" t="s">
        <v>980</v>
      </c>
    </row>
    <row r="64" spans="1:3" x14ac:dyDescent="0.35">
      <c r="A64" t="s">
        <v>558</v>
      </c>
      <c r="B64" s="57">
        <v>2</v>
      </c>
      <c r="C64" t="s">
        <v>558</v>
      </c>
    </row>
    <row r="65" spans="1:3" x14ac:dyDescent="0.35">
      <c r="A65" t="s">
        <v>560</v>
      </c>
      <c r="B65" s="57">
        <v>2</v>
      </c>
      <c r="C65" t="s">
        <v>560</v>
      </c>
    </row>
    <row r="66" spans="1:3" x14ac:dyDescent="0.35">
      <c r="A66" t="s">
        <v>241</v>
      </c>
      <c r="B66" s="57">
        <v>2</v>
      </c>
      <c r="C66" t="s">
        <v>241</v>
      </c>
    </row>
    <row r="67" spans="1:3" x14ac:dyDescent="0.35">
      <c r="A67" t="s">
        <v>1231</v>
      </c>
      <c r="B67" s="57">
        <v>2</v>
      </c>
      <c r="C67" t="s">
        <v>1231</v>
      </c>
    </row>
    <row r="68" spans="1:3" x14ac:dyDescent="0.35">
      <c r="A68" t="s">
        <v>245</v>
      </c>
      <c r="B68" s="57">
        <v>2</v>
      </c>
      <c r="C68" t="s">
        <v>245</v>
      </c>
    </row>
    <row r="69" spans="1:3" x14ac:dyDescent="0.35">
      <c r="A69" t="s">
        <v>562</v>
      </c>
      <c r="B69" s="57">
        <v>2</v>
      </c>
      <c r="C69" t="s">
        <v>562</v>
      </c>
    </row>
    <row r="70" spans="1:3" x14ac:dyDescent="0.35">
      <c r="A70" t="s">
        <v>564</v>
      </c>
      <c r="B70" s="57">
        <v>2</v>
      </c>
      <c r="C70" t="s">
        <v>564</v>
      </c>
    </row>
    <row r="71" spans="1:3" x14ac:dyDescent="0.35">
      <c r="A71" t="s">
        <v>84</v>
      </c>
      <c r="B71" s="57">
        <v>2</v>
      </c>
      <c r="C71" t="s">
        <v>84</v>
      </c>
    </row>
    <row r="72" spans="1:3" x14ac:dyDescent="0.35">
      <c r="A72" t="s">
        <v>249</v>
      </c>
      <c r="B72" s="57">
        <v>2</v>
      </c>
      <c r="C72" t="s">
        <v>249</v>
      </c>
    </row>
    <row r="73" spans="1:3" x14ac:dyDescent="0.35">
      <c r="A73" t="s">
        <v>575</v>
      </c>
      <c r="B73" s="57">
        <v>2</v>
      </c>
      <c r="C73" t="s">
        <v>575</v>
      </c>
    </row>
    <row r="74" spans="1:3" x14ac:dyDescent="0.35">
      <c r="A74" t="s">
        <v>253</v>
      </c>
      <c r="B74" s="57">
        <v>2</v>
      </c>
      <c r="C74" t="s">
        <v>253</v>
      </c>
    </row>
    <row r="75" spans="1:3" x14ac:dyDescent="0.35">
      <c r="A75" t="s">
        <v>582</v>
      </c>
      <c r="B75" s="57">
        <v>2</v>
      </c>
      <c r="C75" t="s">
        <v>582</v>
      </c>
    </row>
    <row r="76" spans="1:3" x14ac:dyDescent="0.35">
      <c r="A76" t="s">
        <v>586</v>
      </c>
      <c r="B76" s="57">
        <v>2</v>
      </c>
      <c r="C76" t="s">
        <v>586</v>
      </c>
    </row>
    <row r="77" spans="1:3" x14ac:dyDescent="0.35">
      <c r="A77" t="s">
        <v>588</v>
      </c>
      <c r="B77" s="57">
        <v>2</v>
      </c>
      <c r="C77" t="s">
        <v>588</v>
      </c>
    </row>
    <row r="78" spans="1:3" x14ac:dyDescent="0.35">
      <c r="A78" t="s">
        <v>1235</v>
      </c>
      <c r="B78" s="57">
        <v>2</v>
      </c>
      <c r="C78" t="s">
        <v>1235</v>
      </c>
    </row>
    <row r="79" spans="1:3" x14ac:dyDescent="0.35">
      <c r="A79" t="s">
        <v>591</v>
      </c>
      <c r="B79" s="57">
        <v>2</v>
      </c>
      <c r="C79" t="s">
        <v>591</v>
      </c>
    </row>
    <row r="80" spans="1:3" x14ac:dyDescent="0.35">
      <c r="A80" t="s">
        <v>1503</v>
      </c>
      <c r="B80" s="57">
        <v>1</v>
      </c>
      <c r="C80" t="s">
        <v>1503</v>
      </c>
    </row>
    <row r="81" spans="1:3" x14ac:dyDescent="0.35">
      <c r="A81" t="s">
        <v>594</v>
      </c>
      <c r="B81" s="57">
        <v>2</v>
      </c>
      <c r="C81" t="s">
        <v>594</v>
      </c>
    </row>
    <row r="82" spans="1:3" x14ac:dyDescent="0.35">
      <c r="A82" t="s">
        <v>596</v>
      </c>
      <c r="B82" s="57">
        <v>2</v>
      </c>
      <c r="C82" t="s">
        <v>596</v>
      </c>
    </row>
    <row r="83" spans="1:3" x14ac:dyDescent="0.35">
      <c r="A83" t="s">
        <v>260</v>
      </c>
      <c r="B83" s="57">
        <v>2</v>
      </c>
      <c r="C83" t="s">
        <v>260</v>
      </c>
    </row>
    <row r="84" spans="1:3" x14ac:dyDescent="0.35">
      <c r="A84" t="s">
        <v>412</v>
      </c>
      <c r="B84" s="57">
        <v>2</v>
      </c>
      <c r="C84" t="s">
        <v>412</v>
      </c>
    </row>
    <row r="85" spans="1:3" x14ac:dyDescent="0.35">
      <c r="A85" t="s">
        <v>264</v>
      </c>
      <c r="B85" s="57">
        <v>2</v>
      </c>
      <c r="C85" t="s">
        <v>264</v>
      </c>
    </row>
    <row r="86" spans="1:3" x14ac:dyDescent="0.35">
      <c r="A86" t="s">
        <v>1238</v>
      </c>
      <c r="B86" s="57">
        <v>2</v>
      </c>
      <c r="C86" t="s">
        <v>1238</v>
      </c>
    </row>
    <row r="87" spans="1:3" x14ac:dyDescent="0.35">
      <c r="A87" t="s">
        <v>603</v>
      </c>
      <c r="B87" s="57">
        <v>2</v>
      </c>
      <c r="C87" t="s">
        <v>603</v>
      </c>
    </row>
    <row r="88" spans="1:3" x14ac:dyDescent="0.35">
      <c r="A88" t="s">
        <v>607</v>
      </c>
      <c r="B88" s="57">
        <v>2</v>
      </c>
      <c r="C88" t="s">
        <v>607</v>
      </c>
    </row>
    <row r="89" spans="1:3" x14ac:dyDescent="0.35">
      <c r="A89" t="s">
        <v>610</v>
      </c>
      <c r="B89" s="57">
        <v>2</v>
      </c>
      <c r="C89" t="s">
        <v>610</v>
      </c>
    </row>
    <row r="90" spans="1:3" x14ac:dyDescent="0.35">
      <c r="A90" t="s">
        <v>90</v>
      </c>
      <c r="B90" s="57">
        <v>1</v>
      </c>
      <c r="C90" t="s">
        <v>90</v>
      </c>
    </row>
    <row r="91" spans="1:3" x14ac:dyDescent="0.35">
      <c r="A91" t="s">
        <v>613</v>
      </c>
      <c r="B91" s="57">
        <v>2</v>
      </c>
      <c r="C91" t="s">
        <v>613</v>
      </c>
    </row>
    <row r="92" spans="1:3" x14ac:dyDescent="0.35">
      <c r="A92" t="s">
        <v>615</v>
      </c>
      <c r="B92" s="57">
        <v>2</v>
      </c>
      <c r="C92" t="s">
        <v>615</v>
      </c>
    </row>
    <row r="93" spans="1:3" x14ac:dyDescent="0.35">
      <c r="A93" t="s">
        <v>618</v>
      </c>
      <c r="B93" s="57">
        <v>2</v>
      </c>
      <c r="C93" t="s">
        <v>618</v>
      </c>
    </row>
    <row r="94" spans="1:3" x14ac:dyDescent="0.35">
      <c r="A94" t="s">
        <v>621</v>
      </c>
      <c r="B94" s="57">
        <v>2</v>
      </c>
      <c r="C94" t="s">
        <v>621</v>
      </c>
    </row>
    <row r="95" spans="1:3" x14ac:dyDescent="0.35">
      <c r="A95" t="s">
        <v>274</v>
      </c>
      <c r="B95" s="57">
        <v>2</v>
      </c>
      <c r="C95" t="s">
        <v>274</v>
      </c>
    </row>
    <row r="96" spans="1:3" x14ac:dyDescent="0.35">
      <c r="A96" t="s">
        <v>276</v>
      </c>
      <c r="B96" s="57">
        <v>2</v>
      </c>
      <c r="C96" t="s">
        <v>276</v>
      </c>
    </row>
    <row r="97" spans="1:3" x14ac:dyDescent="0.35">
      <c r="A97" t="s">
        <v>629</v>
      </c>
      <c r="B97" s="57">
        <v>2</v>
      </c>
      <c r="C97" t="s">
        <v>629</v>
      </c>
    </row>
    <row r="98" spans="1:3" x14ac:dyDescent="0.35">
      <c r="A98" t="s">
        <v>60</v>
      </c>
      <c r="B98" s="57">
        <v>2</v>
      </c>
      <c r="C98" t="s">
        <v>60</v>
      </c>
    </row>
    <row r="99" spans="1:3" x14ac:dyDescent="0.35">
      <c r="A99" t="s">
        <v>635</v>
      </c>
      <c r="B99" s="57">
        <v>2</v>
      </c>
      <c r="C99" t="s">
        <v>635</v>
      </c>
    </row>
    <row r="100" spans="1:3" x14ac:dyDescent="0.35">
      <c r="A100" t="s">
        <v>74</v>
      </c>
      <c r="B100" s="57">
        <v>2</v>
      </c>
      <c r="C100" t="s">
        <v>74</v>
      </c>
    </row>
    <row r="101" spans="1:3" x14ac:dyDescent="0.35">
      <c r="A101" t="s">
        <v>1251</v>
      </c>
      <c r="B101" s="57">
        <v>2</v>
      </c>
      <c r="C101" t="s">
        <v>1251</v>
      </c>
    </row>
    <row r="102" spans="1:3" x14ac:dyDescent="0.35">
      <c r="A102" t="s">
        <v>639</v>
      </c>
      <c r="B102" s="57">
        <v>2</v>
      </c>
      <c r="C102" t="s">
        <v>639</v>
      </c>
    </row>
    <row r="103" spans="1:3" x14ac:dyDescent="0.35">
      <c r="A103" t="s">
        <v>642</v>
      </c>
      <c r="B103" s="57">
        <v>2</v>
      </c>
      <c r="C103" t="s">
        <v>642</v>
      </c>
    </row>
    <row r="104" spans="1:3" x14ac:dyDescent="0.35">
      <c r="A104" t="s">
        <v>999</v>
      </c>
      <c r="B104" s="57">
        <v>2</v>
      </c>
      <c r="C104" t="s">
        <v>999</v>
      </c>
    </row>
    <row r="105" spans="1:3" x14ac:dyDescent="0.35">
      <c r="A105" t="s">
        <v>1256</v>
      </c>
      <c r="B105" s="57">
        <v>2</v>
      </c>
      <c r="C105" t="s">
        <v>1256</v>
      </c>
    </row>
    <row r="106" spans="1:3" x14ac:dyDescent="0.35">
      <c r="A106" t="s">
        <v>647</v>
      </c>
      <c r="B106" s="57">
        <v>2</v>
      </c>
      <c r="C106" t="s">
        <v>647</v>
      </c>
    </row>
    <row r="107" spans="1:3" x14ac:dyDescent="0.35">
      <c r="A107" t="s">
        <v>896</v>
      </c>
      <c r="B107" s="57">
        <v>2</v>
      </c>
      <c r="C107" t="s">
        <v>896</v>
      </c>
    </row>
    <row r="108" spans="1:3" x14ac:dyDescent="0.35">
      <c r="A108" t="s">
        <v>658</v>
      </c>
      <c r="B108" s="57">
        <v>2</v>
      </c>
      <c r="C108" t="s">
        <v>658</v>
      </c>
    </row>
    <row r="109" spans="1:3" x14ac:dyDescent="0.35">
      <c r="A109" t="s">
        <v>662</v>
      </c>
      <c r="B109" s="57">
        <v>2</v>
      </c>
      <c r="C109" t="s">
        <v>662</v>
      </c>
    </row>
    <row r="110" spans="1:3" x14ac:dyDescent="0.35">
      <c r="A110" t="s">
        <v>664</v>
      </c>
      <c r="B110" s="57">
        <v>2</v>
      </c>
      <c r="C110" t="s">
        <v>664</v>
      </c>
    </row>
    <row r="111" spans="1:3" x14ac:dyDescent="0.35">
      <c r="A111" t="s">
        <v>286</v>
      </c>
      <c r="B111" s="57">
        <v>2</v>
      </c>
      <c r="C111" t="s">
        <v>286</v>
      </c>
    </row>
    <row r="112" spans="1:3" x14ac:dyDescent="0.35">
      <c r="A112" t="s">
        <v>667</v>
      </c>
      <c r="B112" s="57">
        <v>2</v>
      </c>
      <c r="C112" t="s">
        <v>667</v>
      </c>
    </row>
    <row r="113" spans="1:3" x14ac:dyDescent="0.35">
      <c r="A113" t="s">
        <v>670</v>
      </c>
      <c r="B113" s="57">
        <v>2</v>
      </c>
      <c r="C113" t="s">
        <v>670</v>
      </c>
    </row>
    <row r="114" spans="1:3" x14ac:dyDescent="0.35">
      <c r="A114" t="s">
        <v>673</v>
      </c>
      <c r="B114" s="57">
        <v>2</v>
      </c>
      <c r="C114" t="s">
        <v>673</v>
      </c>
    </row>
    <row r="115" spans="1:3" x14ac:dyDescent="0.35">
      <c r="A115" t="s">
        <v>296</v>
      </c>
      <c r="B115" s="57">
        <v>2</v>
      </c>
      <c r="C115" t="s">
        <v>296</v>
      </c>
    </row>
    <row r="116" spans="1:3" x14ac:dyDescent="0.35">
      <c r="A116" t="s">
        <v>676</v>
      </c>
      <c r="B116" s="57">
        <v>2</v>
      </c>
      <c r="C116" t="s">
        <v>676</v>
      </c>
    </row>
    <row r="117" spans="1:3" x14ac:dyDescent="0.35">
      <c r="A117" t="s">
        <v>680</v>
      </c>
      <c r="B117" s="57">
        <v>2</v>
      </c>
      <c r="C117" t="s">
        <v>680</v>
      </c>
    </row>
    <row r="118" spans="1:3" x14ac:dyDescent="0.35">
      <c r="A118" t="s">
        <v>682</v>
      </c>
      <c r="B118" s="57">
        <v>2</v>
      </c>
      <c r="C118" t="s">
        <v>682</v>
      </c>
    </row>
    <row r="119" spans="1:3" x14ac:dyDescent="0.35">
      <c r="A119" t="s">
        <v>379</v>
      </c>
      <c r="B119" s="57">
        <v>2</v>
      </c>
      <c r="C119" t="s">
        <v>379</v>
      </c>
    </row>
    <row r="120" spans="1:3" x14ac:dyDescent="0.35">
      <c r="A120" t="s">
        <v>688</v>
      </c>
      <c r="B120" s="57">
        <v>2</v>
      </c>
      <c r="C120" s="56" t="s">
        <v>688</v>
      </c>
    </row>
    <row r="121" spans="1:3" x14ac:dyDescent="0.35">
      <c r="A121" t="s">
        <v>1015</v>
      </c>
      <c r="B121" s="57">
        <v>2</v>
      </c>
      <c r="C121" t="s">
        <v>1015</v>
      </c>
    </row>
    <row r="122" spans="1:3" x14ac:dyDescent="0.35">
      <c r="A122" t="s">
        <v>1017</v>
      </c>
      <c r="B122" s="57">
        <v>2</v>
      </c>
      <c r="C122" t="s">
        <v>1017</v>
      </c>
    </row>
    <row r="123" spans="1:3" x14ac:dyDescent="0.35">
      <c r="A123" t="s">
        <v>697</v>
      </c>
      <c r="B123" s="57">
        <v>2</v>
      </c>
      <c r="C123" t="s">
        <v>697</v>
      </c>
    </row>
    <row r="124" spans="1:3" x14ac:dyDescent="0.35">
      <c r="A124" t="s">
        <v>700</v>
      </c>
      <c r="B124" s="57">
        <v>2</v>
      </c>
      <c r="C124" t="s">
        <v>700</v>
      </c>
    </row>
    <row r="125" spans="1:3" x14ac:dyDescent="0.35">
      <c r="A125" t="s">
        <v>702</v>
      </c>
      <c r="B125" s="57">
        <v>2</v>
      </c>
      <c r="C125" t="s">
        <v>702</v>
      </c>
    </row>
    <row r="126" spans="1:3" x14ac:dyDescent="0.35">
      <c r="A126" t="s">
        <v>705</v>
      </c>
      <c r="B126" s="57">
        <v>2</v>
      </c>
      <c r="C126" t="s">
        <v>705</v>
      </c>
    </row>
    <row r="127" spans="1:3" x14ac:dyDescent="0.35">
      <c r="A127" t="s">
        <v>318</v>
      </c>
      <c r="B127" s="57">
        <v>2</v>
      </c>
      <c r="C127" t="s">
        <v>318</v>
      </c>
    </row>
    <row r="128" spans="1:3" x14ac:dyDescent="0.35">
      <c r="A128" t="s">
        <v>322</v>
      </c>
      <c r="B128" s="57">
        <v>2</v>
      </c>
      <c r="C128" t="s">
        <v>322</v>
      </c>
    </row>
    <row r="129" spans="1:3" x14ac:dyDescent="0.35">
      <c r="A129" t="s">
        <v>710</v>
      </c>
      <c r="B129" s="57">
        <v>2</v>
      </c>
      <c r="C129" t="s">
        <v>710</v>
      </c>
    </row>
    <row r="130" spans="1:3" x14ac:dyDescent="0.35">
      <c r="A130" t="s">
        <v>712</v>
      </c>
      <c r="B130" s="57">
        <v>2</v>
      </c>
      <c r="C130" t="s">
        <v>712</v>
      </c>
    </row>
    <row r="131" spans="1:3" x14ac:dyDescent="0.35">
      <c r="A131" t="s">
        <v>716</v>
      </c>
      <c r="B131" s="57">
        <v>2</v>
      </c>
      <c r="C131" t="s">
        <v>716</v>
      </c>
    </row>
    <row r="132" spans="1:3" x14ac:dyDescent="0.35">
      <c r="A132" t="s">
        <v>329</v>
      </c>
      <c r="B132" s="57">
        <v>2</v>
      </c>
      <c r="C132" t="s">
        <v>329</v>
      </c>
    </row>
    <row r="133" spans="1:3" x14ac:dyDescent="0.35">
      <c r="A133" t="s">
        <v>387</v>
      </c>
      <c r="B133" s="57">
        <v>2</v>
      </c>
      <c r="C133" t="s">
        <v>387</v>
      </c>
    </row>
    <row r="134" spans="1:3" x14ac:dyDescent="0.35">
      <c r="A134" t="s">
        <v>721</v>
      </c>
      <c r="B134" s="57">
        <v>2</v>
      </c>
      <c r="C134" t="s">
        <v>721</v>
      </c>
    </row>
    <row r="135" spans="1:3" x14ac:dyDescent="0.35">
      <c r="A135" t="s">
        <v>725</v>
      </c>
      <c r="B135" s="57">
        <v>2</v>
      </c>
      <c r="C135" t="s">
        <v>725</v>
      </c>
    </row>
    <row r="136" spans="1:3" x14ac:dyDescent="0.35">
      <c r="A136" t="s">
        <v>727</v>
      </c>
      <c r="B136" s="57">
        <v>2</v>
      </c>
      <c r="C136" t="s">
        <v>727</v>
      </c>
    </row>
    <row r="137" spans="1:3" x14ac:dyDescent="0.35">
      <c r="A137" t="s">
        <v>731</v>
      </c>
      <c r="B137" s="57">
        <v>2</v>
      </c>
      <c r="C137" t="s">
        <v>731</v>
      </c>
    </row>
    <row r="138" spans="1:3" x14ac:dyDescent="0.35">
      <c r="A138" t="s">
        <v>734</v>
      </c>
      <c r="B138" s="57">
        <v>2</v>
      </c>
      <c r="C138" t="s">
        <v>734</v>
      </c>
    </row>
    <row r="139" spans="1:3" x14ac:dyDescent="0.35">
      <c r="A139" t="s">
        <v>738</v>
      </c>
      <c r="B139" s="57">
        <v>2</v>
      </c>
      <c r="C139" t="s">
        <v>738</v>
      </c>
    </row>
    <row r="140" spans="1:3" x14ac:dyDescent="0.35">
      <c r="A140" t="s">
        <v>72</v>
      </c>
      <c r="B140" s="57">
        <v>2</v>
      </c>
      <c r="C140" t="s">
        <v>72</v>
      </c>
    </row>
    <row r="141" spans="1:3" x14ac:dyDescent="0.35">
      <c r="A141" t="s">
        <v>741</v>
      </c>
      <c r="B141" s="57">
        <v>2</v>
      </c>
      <c r="C141" t="s">
        <v>741</v>
      </c>
    </row>
    <row r="142" spans="1:3" x14ac:dyDescent="0.35">
      <c r="A142" t="s">
        <v>742</v>
      </c>
      <c r="B142" s="57">
        <v>2</v>
      </c>
      <c r="C142" t="s">
        <v>742</v>
      </c>
    </row>
    <row r="143" spans="1:3" x14ac:dyDescent="0.35">
      <c r="A143" t="s">
        <v>397</v>
      </c>
      <c r="B143" s="57">
        <v>2</v>
      </c>
      <c r="C143" t="s">
        <v>397</v>
      </c>
    </row>
    <row r="144" spans="1:3" x14ac:dyDescent="0.35">
      <c r="A144" t="s">
        <v>45</v>
      </c>
      <c r="B144" s="57">
        <v>2</v>
      </c>
      <c r="C144" t="s">
        <v>45</v>
      </c>
    </row>
    <row r="145" spans="1:3" x14ac:dyDescent="0.35">
      <c r="A145" t="s">
        <v>751</v>
      </c>
      <c r="B145" s="57">
        <v>2</v>
      </c>
      <c r="C145" t="s">
        <v>751</v>
      </c>
    </row>
    <row r="146" spans="1:3" x14ac:dyDescent="0.35">
      <c r="A146" t="s">
        <v>342</v>
      </c>
      <c r="B146" s="57">
        <v>2</v>
      </c>
      <c r="C146" t="s">
        <v>342</v>
      </c>
    </row>
    <row r="147" spans="1:3" x14ac:dyDescent="0.35">
      <c r="A147" t="s">
        <v>345</v>
      </c>
      <c r="B147" s="57">
        <v>2</v>
      </c>
      <c r="C147" t="s">
        <v>345</v>
      </c>
    </row>
    <row r="148" spans="1:3" x14ac:dyDescent="0.35">
      <c r="A148" t="s">
        <v>755</v>
      </c>
      <c r="B148" s="57">
        <v>2</v>
      </c>
      <c r="C148" t="s">
        <v>755</v>
      </c>
    </row>
    <row r="149" spans="1:3" x14ac:dyDescent="0.35">
      <c r="A149" t="s">
        <v>349</v>
      </c>
      <c r="B149" s="57">
        <v>2</v>
      </c>
      <c r="C149" t="s">
        <v>349</v>
      </c>
    </row>
    <row r="150" spans="1:3" x14ac:dyDescent="0.35">
      <c r="A150" t="s">
        <v>759</v>
      </c>
      <c r="B150" s="57">
        <v>2</v>
      </c>
      <c r="C150" t="s">
        <v>759</v>
      </c>
    </row>
    <row r="151" spans="1:3" x14ac:dyDescent="0.35">
      <c r="A151" t="s">
        <v>353</v>
      </c>
      <c r="B151" s="57">
        <v>2</v>
      </c>
      <c r="C151" t="s">
        <v>353</v>
      </c>
    </row>
    <row r="152" spans="1:3" x14ac:dyDescent="0.35">
      <c r="A152" t="s">
        <v>764</v>
      </c>
      <c r="B152" s="57">
        <v>2</v>
      </c>
      <c r="C152" t="s">
        <v>764</v>
      </c>
    </row>
    <row r="153" spans="1:3" x14ac:dyDescent="0.35">
      <c r="A153" t="s">
        <v>766</v>
      </c>
      <c r="B153" s="57">
        <v>2</v>
      </c>
      <c r="C153" t="s">
        <v>766</v>
      </c>
    </row>
    <row r="154" spans="1:3" x14ac:dyDescent="0.35">
      <c r="A154" t="s">
        <v>768</v>
      </c>
      <c r="B154" s="57">
        <v>2</v>
      </c>
      <c r="C154" t="s">
        <v>768</v>
      </c>
    </row>
    <row r="155" spans="1:3" x14ac:dyDescent="0.35">
      <c r="A155" t="s">
        <v>770</v>
      </c>
      <c r="B155" s="57">
        <v>2</v>
      </c>
      <c r="C155" t="s">
        <v>770</v>
      </c>
    </row>
    <row r="156" spans="1:3" x14ac:dyDescent="0.35">
      <c r="A156" t="s">
        <v>772</v>
      </c>
      <c r="B156" s="57">
        <v>2</v>
      </c>
      <c r="C156" t="s">
        <v>772</v>
      </c>
    </row>
    <row r="157" spans="1:3" x14ac:dyDescent="0.35">
      <c r="A157" t="s">
        <v>775</v>
      </c>
      <c r="B157" s="57">
        <v>2</v>
      </c>
      <c r="C157" t="s">
        <v>775</v>
      </c>
    </row>
    <row r="158" spans="1:3" x14ac:dyDescent="0.35">
      <c r="A158" t="s">
        <v>1278</v>
      </c>
      <c r="B158" s="57">
        <v>2</v>
      </c>
      <c r="C158" t="s">
        <v>1278</v>
      </c>
    </row>
    <row r="159" spans="1:3" x14ac:dyDescent="0.35">
      <c r="A159" t="s">
        <v>360</v>
      </c>
      <c r="B159" s="57">
        <v>2</v>
      </c>
      <c r="C159" t="s">
        <v>360</v>
      </c>
    </row>
    <row r="160" spans="1:3" x14ac:dyDescent="0.35">
      <c r="A160" t="s">
        <v>780</v>
      </c>
      <c r="B160" s="57">
        <v>2</v>
      </c>
      <c r="C160" t="s">
        <v>780</v>
      </c>
    </row>
    <row r="161" spans="1:3" x14ac:dyDescent="0.35">
      <c r="A161" t="s">
        <v>782</v>
      </c>
      <c r="B161" s="57">
        <v>2</v>
      </c>
      <c r="C161" t="s">
        <v>782</v>
      </c>
    </row>
    <row r="162" spans="1:3" x14ac:dyDescent="0.35">
      <c r="A162" t="s">
        <v>784</v>
      </c>
      <c r="B162" s="57">
        <v>2</v>
      </c>
      <c r="C162" t="s">
        <v>784</v>
      </c>
    </row>
    <row r="163" spans="1:3" x14ac:dyDescent="0.35">
      <c r="A163" t="s">
        <v>785</v>
      </c>
      <c r="B163" s="57">
        <v>2</v>
      </c>
      <c r="C163" t="s">
        <v>785</v>
      </c>
    </row>
    <row r="164" spans="1:3" x14ac:dyDescent="0.35">
      <c r="A164" t="s">
        <v>1283</v>
      </c>
      <c r="B164" s="57">
        <v>2</v>
      </c>
      <c r="C164" t="s">
        <v>1283</v>
      </c>
    </row>
    <row r="165" spans="1:3" x14ac:dyDescent="0.35">
      <c r="A165" t="s">
        <v>1035</v>
      </c>
      <c r="B165" s="57">
        <v>2</v>
      </c>
      <c r="C165" t="s">
        <v>1035</v>
      </c>
    </row>
    <row r="166" spans="1:3" x14ac:dyDescent="0.35">
      <c r="A166" t="s">
        <v>788</v>
      </c>
      <c r="B166" s="57">
        <v>2</v>
      </c>
      <c r="C166" t="s">
        <v>788</v>
      </c>
    </row>
    <row r="167" spans="1:3" x14ac:dyDescent="0.35">
      <c r="A167" t="s">
        <v>414</v>
      </c>
      <c r="B167" s="57">
        <v>2</v>
      </c>
      <c r="C167" t="s">
        <v>414</v>
      </c>
    </row>
    <row r="168" spans="1:3" x14ac:dyDescent="0.35">
      <c r="A168" t="s">
        <v>1037</v>
      </c>
      <c r="B168" s="57">
        <v>2</v>
      </c>
      <c r="C168" t="s">
        <v>1037</v>
      </c>
    </row>
    <row r="169" spans="1:3" x14ac:dyDescent="0.35">
      <c r="A169" t="s">
        <v>423</v>
      </c>
      <c r="B169" s="57">
        <v>2</v>
      </c>
      <c r="C169" t="s">
        <v>423</v>
      </c>
    </row>
    <row r="170" spans="1:3" x14ac:dyDescent="0.35">
      <c r="A170" t="s">
        <v>69</v>
      </c>
      <c r="B170" s="57">
        <v>2</v>
      </c>
      <c r="C170" t="s">
        <v>69</v>
      </c>
    </row>
    <row r="171" spans="1:3" x14ac:dyDescent="0.35">
      <c r="A171" t="s">
        <v>793</v>
      </c>
      <c r="B171" s="57">
        <v>2</v>
      </c>
      <c r="C171" t="s">
        <v>793</v>
      </c>
    </row>
    <row r="172" spans="1:3" x14ac:dyDescent="0.35">
      <c r="A172" t="s">
        <v>797</v>
      </c>
      <c r="B172" s="57">
        <v>2</v>
      </c>
      <c r="C172" t="s">
        <v>797</v>
      </c>
    </row>
    <row r="173" spans="1:3" x14ac:dyDescent="0.35">
      <c r="A173" t="s">
        <v>87</v>
      </c>
      <c r="B173" s="57">
        <v>2</v>
      </c>
      <c r="C173" t="s">
        <v>87</v>
      </c>
    </row>
    <row r="174" spans="1:3" x14ac:dyDescent="0.35">
      <c r="A174" t="s">
        <v>801</v>
      </c>
      <c r="B174" s="57">
        <v>2</v>
      </c>
      <c r="C174" t="s">
        <v>801</v>
      </c>
    </row>
    <row r="175" spans="1:3" x14ac:dyDescent="0.35">
      <c r="A175" t="s">
        <v>803</v>
      </c>
      <c r="B175" s="57">
        <v>2</v>
      </c>
      <c r="C175" t="s">
        <v>803</v>
      </c>
    </row>
    <row r="176" spans="1:3" x14ac:dyDescent="0.35">
      <c r="A176" t="s">
        <v>807</v>
      </c>
      <c r="B176" s="57">
        <v>2</v>
      </c>
      <c r="C176" t="s">
        <v>807</v>
      </c>
    </row>
    <row r="177" spans="1:3" x14ac:dyDescent="0.35">
      <c r="A177" t="s">
        <v>867</v>
      </c>
      <c r="B177" s="57">
        <v>2</v>
      </c>
      <c r="C177" t="s">
        <v>867</v>
      </c>
    </row>
    <row r="178" spans="1:3" x14ac:dyDescent="0.35">
      <c r="A178" t="s">
        <v>810</v>
      </c>
      <c r="B178" s="57">
        <v>2</v>
      </c>
      <c r="C178" t="s">
        <v>810</v>
      </c>
    </row>
    <row r="179" spans="1:3" x14ac:dyDescent="0.35">
      <c r="A179" t="s">
        <v>813</v>
      </c>
      <c r="B179" s="57">
        <v>2</v>
      </c>
      <c r="C179" t="s">
        <v>813</v>
      </c>
    </row>
    <row r="180" spans="1:3" x14ac:dyDescent="0.35">
      <c r="A180" t="s">
        <v>817</v>
      </c>
      <c r="B180" s="57">
        <v>2</v>
      </c>
      <c r="C180" t="s">
        <v>817</v>
      </c>
    </row>
    <row r="181" spans="1:3" x14ac:dyDescent="0.35">
      <c r="A181" t="s">
        <v>1297</v>
      </c>
      <c r="B181" s="57">
        <v>2</v>
      </c>
      <c r="C181" t="s">
        <v>1297</v>
      </c>
    </row>
    <row r="182" spans="1:3" x14ac:dyDescent="0.35">
      <c r="A182" t="s">
        <v>821</v>
      </c>
      <c r="B182" s="57">
        <v>2</v>
      </c>
      <c r="C182" t="s">
        <v>821</v>
      </c>
    </row>
    <row r="183" spans="1:3" x14ac:dyDescent="0.35">
      <c r="A183" t="s">
        <v>824</v>
      </c>
      <c r="B183" s="57">
        <v>2</v>
      </c>
      <c r="C183" t="s">
        <v>824</v>
      </c>
    </row>
    <row r="184" spans="1:3" x14ac:dyDescent="0.35">
      <c r="A184" t="s">
        <v>827</v>
      </c>
      <c r="B184" s="57">
        <v>2</v>
      </c>
      <c r="C184" t="s">
        <v>827</v>
      </c>
    </row>
    <row r="185" spans="1:3" x14ac:dyDescent="0.35">
      <c r="A185" t="s">
        <v>1055</v>
      </c>
      <c r="B185" s="57">
        <v>2</v>
      </c>
      <c r="C185" t="s">
        <v>1055</v>
      </c>
    </row>
    <row r="186" spans="1:3" x14ac:dyDescent="0.35">
      <c r="A186" t="s">
        <v>1298</v>
      </c>
      <c r="B186" s="57">
        <v>2</v>
      </c>
      <c r="C186" t="s">
        <v>1298</v>
      </c>
    </row>
    <row r="187" spans="1:3" x14ac:dyDescent="0.35">
      <c r="A187" t="s">
        <v>829</v>
      </c>
      <c r="B187" s="57">
        <v>2</v>
      </c>
      <c r="C187" t="s">
        <v>829</v>
      </c>
    </row>
    <row r="188" spans="1:3" x14ac:dyDescent="0.35">
      <c r="A188" t="s">
        <v>831</v>
      </c>
      <c r="B188" s="57">
        <v>2</v>
      </c>
      <c r="C188" t="s">
        <v>831</v>
      </c>
    </row>
    <row r="189" spans="1:3" x14ac:dyDescent="0.35">
      <c r="A189" t="s">
        <v>833</v>
      </c>
      <c r="B189" s="57">
        <v>2</v>
      </c>
      <c r="C189" t="s">
        <v>833</v>
      </c>
    </row>
    <row r="190" spans="1:3" x14ac:dyDescent="0.35">
      <c r="A190" t="s">
        <v>836</v>
      </c>
      <c r="B190" s="57">
        <v>2</v>
      </c>
      <c r="C190" t="s">
        <v>836</v>
      </c>
    </row>
    <row r="191" spans="1:3" x14ac:dyDescent="0.35">
      <c r="A191" t="s">
        <v>839</v>
      </c>
      <c r="B191" s="57">
        <v>2</v>
      </c>
      <c r="C191" t="s">
        <v>839</v>
      </c>
    </row>
    <row r="192" spans="1:3" x14ac:dyDescent="0.35">
      <c r="A192" t="s">
        <v>841</v>
      </c>
      <c r="B192" s="57">
        <v>2</v>
      </c>
      <c r="C192" t="s">
        <v>841</v>
      </c>
    </row>
    <row r="193" spans="1:3" x14ac:dyDescent="0.35">
      <c r="A193" t="s">
        <v>844</v>
      </c>
      <c r="B193" s="57">
        <v>2</v>
      </c>
      <c r="C193" t="s">
        <v>844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8351E1C17E426E4686F7F6F46118C3E9" ma:contentTypeVersion="21" ma:contentTypeDescription="Create a new document." ma:contentTypeScope="" ma:versionID="dd56267ef28339056efbc40aac1b6400">
  <xsd:schema xmlns:xsd="http://www.w3.org/2001/XMLSchema" xmlns:xs="http://www.w3.org/2001/XMLSchema" xmlns:p="http://schemas.microsoft.com/office/2006/metadata/properties" xmlns:ns2="2f6ca3d3-0979-48ae-86cb-f9b3d3e9d720" xmlns:ns3="2ea0722c-c29c-4607-b480-a0c4ef2f23d9" targetNamespace="http://schemas.microsoft.com/office/2006/metadata/properties" ma:root="true" ma:fieldsID="4f2875d379e7b06488bd136a93a882a4" ns2:_="" ns3:_="">
    <xsd:import namespace="2f6ca3d3-0979-48ae-86cb-f9b3d3e9d720"/>
    <xsd:import namespace="2ea0722c-c29c-4607-b480-a0c4ef2f23d9"/>
    <xsd:element name="properties">
      <xsd:complexType>
        <xsd:sequence>
          <xsd:element name="documentManagement">
            <xsd:complexType>
              <xsd:all>
                <xsd:element ref="ns2:Date"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6ca3d3-0979-48ae-86cb-f9b3d3e9d720" elementFormDefault="qualified">
    <xsd:import namespace="http://schemas.microsoft.com/office/2006/documentManagement/types"/>
    <xsd:import namespace="http://schemas.microsoft.com/office/infopath/2007/PartnerControls"/>
    <xsd:element name="Date" ma:index="4" nillable="true" ma:displayName="Date" ma:format="DateOnly" ma:internalName="Date" ma:readOnly="fals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64d3d66-4ec5-41da-8242-6d44fe705f5e"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a0722c-c29c-4607-b480-a0c4ef2f23d9"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54311f5f-d3c7-4b98-b6af-b5cd768806c1}" ma:internalName="TaxCatchAll" ma:showField="CatchAllData" ma:web="2ea0722c-c29c-4607-b480-a0c4ef2f23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haredWithUsers xmlns="2ea0722c-c29c-4607-b480-a0c4ef2f23d9">
      <UserInfo>
        <DisplayName>Sakulthip Lertwongpanich</DisplayName>
        <AccountId>169</AccountId>
        <AccountType/>
      </UserInfo>
      <UserInfo>
        <DisplayName>Apisak Thaomor</DisplayName>
        <AccountId>155</AccountId>
        <AccountType/>
      </UserInfo>
      <UserInfo>
        <DisplayName>Kittipong Limanonvarachai</DisplayName>
        <AccountId>156</AccountId>
        <AccountType/>
      </UserInfo>
      <UserInfo>
        <DisplayName>Chollapin Kongtrasakul</DisplayName>
        <AccountId>1644</AccountId>
        <AccountType/>
      </UserInfo>
      <UserInfo>
        <DisplayName>Sudarat Boonnarkka</DisplayName>
        <AccountId>45</AccountId>
        <AccountType/>
      </UserInfo>
      <UserInfo>
        <DisplayName>Pattharathida Parungkul</DisplayName>
        <AccountId>1900</AccountId>
        <AccountType/>
      </UserInfo>
      <UserInfo>
        <DisplayName>Panchai Tapaohirun</DisplayName>
        <AccountId>39</AccountId>
        <AccountType/>
      </UserInfo>
      <UserInfo>
        <DisplayName>Duangkamon Phanyoo</DisplayName>
        <AccountId>2008</AccountId>
        <AccountType/>
      </UserInfo>
      <UserInfo>
        <DisplayName>Nussara Jirapong</DisplayName>
        <AccountId>2348</AccountId>
        <AccountType/>
      </UserInfo>
      <UserInfo>
        <DisplayName>Karn Songwuittiwichai</DisplayName>
        <AccountId>13</AccountId>
        <AccountType/>
      </UserInfo>
      <UserInfo>
        <DisplayName>Juthaporn Thaweesat</DisplayName>
        <AccountId>2466</AccountId>
        <AccountType/>
      </UserInfo>
      <UserInfo>
        <DisplayName>Isaree Kaosuntia</DisplayName>
        <AccountId>184</AccountId>
        <AccountType/>
      </UserInfo>
      <UserInfo>
        <DisplayName>Patitta Chawathanaphattarakul</DisplayName>
        <AccountId>291</AccountId>
        <AccountType/>
      </UserInfo>
    </SharedWithUsers>
    <lcf76f155ced4ddcb4097134ff3c332f xmlns="2f6ca3d3-0979-48ae-86cb-f9b3d3e9d720">
      <Terms xmlns="http://schemas.microsoft.com/office/infopath/2007/PartnerControls"/>
    </lcf76f155ced4ddcb4097134ff3c332f>
    <TaxCatchAll xmlns="2ea0722c-c29c-4607-b480-a0c4ef2f23d9" xsi:nil="true"/>
    <Date xmlns="2f6ca3d3-0979-48ae-86cb-f9b3d3e9d720" xsi:nil="true"/>
  </documentManagement>
</p:properties>
</file>

<file path=customXml/itemProps1.xml><?xml version="1.0" encoding="utf-8"?>
<ds:datastoreItem xmlns:ds="http://schemas.openxmlformats.org/officeDocument/2006/customXml" ds:itemID="{FB7B51E2-7CED-479B-96BC-A9ED7215E1B1}">
  <ds:schemaRefs>
    <ds:schemaRef ds:uri="http://schemas.microsoft.com/sharepoint/v3/contenttype/forms"/>
  </ds:schemaRefs>
</ds:datastoreItem>
</file>

<file path=customXml/itemProps2.xml><?xml version="1.0" encoding="utf-8"?>
<ds:datastoreItem xmlns:ds="http://schemas.openxmlformats.org/officeDocument/2006/customXml" ds:itemID="{683250E8-DC1B-4998-8FD1-7A4BAE66944B}">
  <ds:schemaRefs>
    <ds:schemaRef ds:uri="http://schemas.microsoft.com/DataMashup"/>
  </ds:schemaRefs>
</ds:datastoreItem>
</file>

<file path=customXml/itemProps3.xml><?xml version="1.0" encoding="utf-8"?>
<ds:datastoreItem xmlns:ds="http://schemas.openxmlformats.org/officeDocument/2006/customXml" ds:itemID="{55470E82-8B61-4F4E-BD83-FD023415E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6ca3d3-0979-48ae-86cb-f9b3d3e9d720"/>
    <ds:schemaRef ds:uri="2ea0722c-c29c-4607-b480-a0c4ef2f23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05293FE-BEC9-45BD-AEDA-C06EEC7FBB65}">
  <ds:schemaRefs>
    <ds:schemaRef ds:uri="http://schemas.microsoft.com/office/2006/documentManagement/types"/>
    <ds:schemaRef ds:uri="http://schemas.microsoft.com/office/infopath/2007/PartnerControls"/>
    <ds:schemaRef ds:uri="http://purl.org/dc/elements/1.1/"/>
    <ds:schemaRef ds:uri="2ea0722c-c29c-4607-b480-a0c4ef2f23d9"/>
    <ds:schemaRef ds:uri="http://schemas.microsoft.com/office/2006/metadata/properties"/>
    <ds:schemaRef ds:uri="http://schemas.openxmlformats.org/package/2006/metadata/core-properties"/>
    <ds:schemaRef ds:uri="http://purl.org/dc/terms/"/>
    <ds:schemaRef ds:uri="2f6ca3d3-0979-48ae-86cb-f9b3d3e9d72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Definition of File</vt:lpstr>
      <vt:lpstr>Connell Thailand &amp; Others</vt:lpstr>
      <vt:lpstr>order shipping</vt:lpstr>
      <vt:lpstr>Product Discontinued </vt:lpstr>
      <vt:lpstr>Activity Log 2021</vt:lpstr>
      <vt:lpstr>Global Customer</vt:lpstr>
      <vt:lpstr>2020 Reference </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Lee</dc:creator>
  <cp:keywords/>
  <dc:description/>
  <cp:lastModifiedBy>Suriya Tungsirin</cp:lastModifiedBy>
  <cp:revision/>
  <dcterms:created xsi:type="dcterms:W3CDTF">2020-02-25T06:41:25Z</dcterms:created>
  <dcterms:modified xsi:type="dcterms:W3CDTF">2026-03-20T03:19:29Z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0x0101008351E1C17E426E4686F7F6F46118C3E9</vt:lpwstr>
  </property>
  <property fmtid="{D5CDD505-2E9C-101B-9397-08002B2CF9AE}" pid="3" name="MediaServiceImageTags">
    <vt:lpwstr/>
  </property>
</Properties>
</file>